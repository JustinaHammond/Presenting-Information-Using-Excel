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terdunlap/Desktop/Scalework/Azubi AI Academy/"/>
    </mc:Choice>
  </mc:AlternateContent>
  <xr:revisionPtr revIDLastSave="0" documentId="13_ncr:1_{021C1646-5280-7142-9A3F-675106778ABE}" xr6:coauthVersionLast="47" xr6:coauthVersionMax="47" xr10:uidLastSave="{00000000-0000-0000-0000-000000000000}"/>
  <bookViews>
    <workbookView xWindow="51740" yWindow="-8520" windowWidth="40480" windowHeight="26420" activeTab="1" xr2:uid="{6473F7E8-1DF3-5646-92CC-E94CCDBCBC73}"/>
  </bookViews>
  <sheets>
    <sheet name="lookup tables" sheetId="1" r:id="rId1"/>
    <sheet name="master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9" i="2" l="1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L3" i="2"/>
  <c r="K3" i="2"/>
  <c r="E4" i="2"/>
  <c r="F4" i="2"/>
  <c r="G4" i="2"/>
  <c r="H4" i="2"/>
  <c r="I4" i="2"/>
  <c r="J4" i="2"/>
  <c r="M4" i="2"/>
  <c r="E5" i="2"/>
  <c r="F5" i="2"/>
  <c r="G5" i="2"/>
  <c r="H5" i="2"/>
  <c r="I5" i="2"/>
  <c r="J5" i="2"/>
  <c r="M5" i="2"/>
  <c r="E6" i="2"/>
  <c r="F6" i="2"/>
  <c r="G6" i="2"/>
  <c r="H6" i="2"/>
  <c r="I6" i="2"/>
  <c r="J6" i="2"/>
  <c r="M6" i="2"/>
  <c r="E7" i="2"/>
  <c r="F7" i="2"/>
  <c r="G7" i="2"/>
  <c r="H7" i="2"/>
  <c r="I7" i="2"/>
  <c r="J7" i="2"/>
  <c r="M7" i="2"/>
  <c r="E8" i="2"/>
  <c r="F8" i="2"/>
  <c r="G8" i="2"/>
  <c r="H8" i="2"/>
  <c r="I8" i="2"/>
  <c r="J8" i="2"/>
  <c r="M8" i="2"/>
  <c r="E9" i="2"/>
  <c r="F9" i="2"/>
  <c r="G9" i="2"/>
  <c r="H9" i="2"/>
  <c r="I9" i="2"/>
  <c r="J9" i="2"/>
  <c r="M9" i="2"/>
  <c r="E10" i="2"/>
  <c r="F10" i="2"/>
  <c r="G10" i="2"/>
  <c r="H10" i="2"/>
  <c r="I10" i="2"/>
  <c r="J10" i="2"/>
  <c r="M10" i="2"/>
  <c r="E11" i="2"/>
  <c r="F11" i="2"/>
  <c r="G11" i="2"/>
  <c r="H11" i="2"/>
  <c r="I11" i="2"/>
  <c r="J11" i="2"/>
  <c r="M11" i="2"/>
  <c r="E12" i="2"/>
  <c r="F12" i="2"/>
  <c r="G12" i="2"/>
  <c r="H12" i="2"/>
  <c r="I12" i="2"/>
  <c r="J12" i="2"/>
  <c r="M12" i="2"/>
  <c r="E13" i="2"/>
  <c r="F13" i="2"/>
  <c r="G13" i="2"/>
  <c r="H13" i="2"/>
  <c r="I13" i="2"/>
  <c r="J13" i="2"/>
  <c r="M13" i="2"/>
  <c r="E14" i="2"/>
  <c r="F14" i="2"/>
  <c r="G14" i="2"/>
  <c r="H14" i="2"/>
  <c r="I14" i="2"/>
  <c r="J14" i="2"/>
  <c r="M14" i="2"/>
  <c r="E15" i="2"/>
  <c r="F15" i="2"/>
  <c r="G15" i="2"/>
  <c r="H15" i="2"/>
  <c r="I15" i="2"/>
  <c r="J15" i="2"/>
  <c r="M15" i="2"/>
  <c r="E16" i="2"/>
  <c r="F16" i="2"/>
  <c r="G16" i="2"/>
  <c r="H16" i="2"/>
  <c r="I16" i="2"/>
  <c r="J16" i="2"/>
  <c r="M16" i="2"/>
  <c r="E17" i="2"/>
  <c r="F17" i="2"/>
  <c r="G17" i="2"/>
  <c r="H17" i="2"/>
  <c r="I17" i="2"/>
  <c r="J17" i="2"/>
  <c r="M17" i="2"/>
  <c r="E18" i="2"/>
  <c r="F18" i="2"/>
  <c r="G18" i="2"/>
  <c r="H18" i="2"/>
  <c r="I18" i="2"/>
  <c r="J18" i="2"/>
  <c r="M18" i="2"/>
  <c r="E19" i="2"/>
  <c r="F19" i="2"/>
  <c r="G19" i="2"/>
  <c r="H19" i="2"/>
  <c r="I19" i="2"/>
  <c r="J19" i="2"/>
  <c r="M19" i="2"/>
  <c r="E20" i="2"/>
  <c r="F20" i="2"/>
  <c r="G20" i="2"/>
  <c r="H20" i="2"/>
  <c r="I20" i="2"/>
  <c r="J20" i="2"/>
  <c r="M20" i="2"/>
  <c r="E21" i="2"/>
  <c r="F21" i="2"/>
  <c r="G21" i="2"/>
  <c r="H21" i="2"/>
  <c r="I21" i="2"/>
  <c r="J21" i="2"/>
  <c r="M21" i="2"/>
  <c r="E22" i="2"/>
  <c r="F22" i="2"/>
  <c r="G22" i="2"/>
  <c r="H22" i="2"/>
  <c r="I22" i="2"/>
  <c r="J22" i="2"/>
  <c r="M22" i="2"/>
  <c r="E23" i="2"/>
  <c r="F23" i="2"/>
  <c r="G23" i="2"/>
  <c r="H23" i="2"/>
  <c r="I23" i="2"/>
  <c r="J23" i="2"/>
  <c r="M23" i="2"/>
  <c r="E24" i="2"/>
  <c r="F24" i="2"/>
  <c r="G24" i="2"/>
  <c r="H24" i="2"/>
  <c r="I24" i="2"/>
  <c r="J24" i="2"/>
  <c r="M24" i="2"/>
  <c r="E25" i="2"/>
  <c r="F25" i="2"/>
  <c r="G25" i="2"/>
  <c r="H25" i="2"/>
  <c r="I25" i="2"/>
  <c r="J25" i="2"/>
  <c r="M25" i="2"/>
  <c r="E26" i="2"/>
  <c r="F26" i="2"/>
  <c r="G26" i="2"/>
  <c r="H26" i="2"/>
  <c r="I26" i="2"/>
  <c r="J26" i="2"/>
  <c r="M26" i="2"/>
  <c r="E27" i="2"/>
  <c r="F27" i="2"/>
  <c r="G27" i="2"/>
  <c r="H27" i="2"/>
  <c r="I27" i="2"/>
  <c r="J27" i="2"/>
  <c r="M27" i="2"/>
  <c r="E28" i="2"/>
  <c r="F28" i="2"/>
  <c r="G28" i="2"/>
  <c r="H28" i="2"/>
  <c r="I28" i="2"/>
  <c r="J28" i="2"/>
  <c r="M28" i="2"/>
  <c r="E29" i="2"/>
  <c r="F29" i="2"/>
  <c r="G29" i="2"/>
  <c r="H29" i="2"/>
  <c r="I29" i="2"/>
  <c r="J29" i="2"/>
  <c r="M29" i="2"/>
  <c r="E30" i="2"/>
  <c r="F30" i="2"/>
  <c r="G30" i="2"/>
  <c r="H30" i="2"/>
  <c r="I30" i="2"/>
  <c r="J30" i="2"/>
  <c r="M30" i="2"/>
  <c r="E31" i="2"/>
  <c r="F31" i="2"/>
  <c r="G31" i="2"/>
  <c r="H31" i="2"/>
  <c r="I31" i="2"/>
  <c r="J31" i="2"/>
  <c r="M31" i="2"/>
  <c r="E32" i="2"/>
  <c r="F32" i="2"/>
  <c r="G32" i="2"/>
  <c r="H32" i="2"/>
  <c r="I32" i="2"/>
  <c r="J32" i="2"/>
  <c r="M32" i="2"/>
  <c r="E33" i="2"/>
  <c r="F33" i="2"/>
  <c r="G33" i="2"/>
  <c r="H33" i="2"/>
  <c r="I33" i="2"/>
  <c r="J33" i="2"/>
  <c r="M33" i="2"/>
  <c r="E34" i="2"/>
  <c r="F34" i="2"/>
  <c r="G34" i="2"/>
  <c r="H34" i="2"/>
  <c r="I34" i="2"/>
  <c r="J34" i="2"/>
  <c r="M34" i="2"/>
  <c r="E35" i="2"/>
  <c r="F35" i="2"/>
  <c r="G35" i="2"/>
  <c r="H35" i="2"/>
  <c r="I35" i="2"/>
  <c r="J35" i="2"/>
  <c r="M35" i="2"/>
  <c r="E36" i="2"/>
  <c r="F36" i="2"/>
  <c r="G36" i="2"/>
  <c r="H36" i="2"/>
  <c r="I36" i="2"/>
  <c r="J36" i="2"/>
  <c r="M36" i="2"/>
  <c r="E37" i="2"/>
  <c r="F37" i="2"/>
  <c r="G37" i="2"/>
  <c r="H37" i="2"/>
  <c r="I37" i="2"/>
  <c r="J37" i="2"/>
  <c r="M37" i="2"/>
  <c r="E38" i="2"/>
  <c r="F38" i="2"/>
  <c r="G38" i="2"/>
  <c r="H38" i="2"/>
  <c r="I38" i="2"/>
  <c r="J38" i="2"/>
  <c r="M38" i="2"/>
  <c r="E39" i="2"/>
  <c r="F39" i="2"/>
  <c r="G39" i="2"/>
  <c r="H39" i="2"/>
  <c r="I39" i="2"/>
  <c r="J39" i="2"/>
  <c r="M39" i="2"/>
  <c r="E40" i="2"/>
  <c r="F40" i="2"/>
  <c r="G40" i="2"/>
  <c r="H40" i="2"/>
  <c r="I40" i="2"/>
  <c r="J40" i="2"/>
  <c r="M40" i="2"/>
  <c r="E41" i="2"/>
  <c r="F41" i="2"/>
  <c r="G41" i="2"/>
  <c r="H41" i="2"/>
  <c r="I41" i="2"/>
  <c r="J41" i="2"/>
  <c r="M41" i="2"/>
  <c r="E42" i="2"/>
  <c r="F42" i="2"/>
  <c r="G42" i="2"/>
  <c r="H42" i="2"/>
  <c r="I42" i="2"/>
  <c r="J42" i="2"/>
  <c r="M42" i="2"/>
  <c r="E43" i="2"/>
  <c r="F43" i="2"/>
  <c r="G43" i="2"/>
  <c r="H43" i="2"/>
  <c r="I43" i="2"/>
  <c r="J43" i="2"/>
  <c r="M43" i="2"/>
  <c r="E44" i="2"/>
  <c r="F44" i="2"/>
  <c r="G44" i="2"/>
  <c r="H44" i="2"/>
  <c r="I44" i="2"/>
  <c r="J44" i="2"/>
  <c r="M44" i="2"/>
  <c r="E45" i="2"/>
  <c r="F45" i="2"/>
  <c r="G45" i="2"/>
  <c r="H45" i="2"/>
  <c r="I45" i="2"/>
  <c r="J45" i="2"/>
  <c r="M45" i="2"/>
  <c r="E46" i="2"/>
  <c r="F46" i="2"/>
  <c r="G46" i="2"/>
  <c r="H46" i="2"/>
  <c r="I46" i="2"/>
  <c r="J46" i="2"/>
  <c r="M46" i="2"/>
  <c r="E47" i="2"/>
  <c r="F47" i="2"/>
  <c r="G47" i="2"/>
  <c r="H47" i="2"/>
  <c r="I47" i="2"/>
  <c r="J47" i="2"/>
  <c r="M47" i="2"/>
  <c r="E48" i="2"/>
  <c r="F48" i="2"/>
  <c r="G48" i="2"/>
  <c r="H48" i="2"/>
  <c r="I48" i="2"/>
  <c r="J48" i="2"/>
  <c r="M48" i="2"/>
  <c r="E49" i="2"/>
  <c r="F49" i="2"/>
  <c r="G49" i="2"/>
  <c r="H49" i="2"/>
  <c r="I49" i="2"/>
  <c r="J49" i="2"/>
  <c r="M49" i="2"/>
  <c r="E50" i="2"/>
  <c r="F50" i="2"/>
  <c r="G50" i="2"/>
  <c r="H50" i="2"/>
  <c r="I50" i="2"/>
  <c r="J50" i="2"/>
  <c r="M50" i="2"/>
  <c r="E51" i="2"/>
  <c r="F51" i="2"/>
  <c r="G51" i="2"/>
  <c r="H51" i="2"/>
  <c r="I51" i="2"/>
  <c r="J51" i="2"/>
  <c r="M51" i="2"/>
  <c r="E52" i="2"/>
  <c r="F52" i="2"/>
  <c r="G52" i="2"/>
  <c r="H52" i="2"/>
  <c r="I52" i="2"/>
  <c r="J52" i="2"/>
  <c r="M52" i="2"/>
  <c r="E53" i="2"/>
  <c r="F53" i="2"/>
  <c r="G53" i="2"/>
  <c r="H53" i="2"/>
  <c r="I53" i="2"/>
  <c r="J53" i="2"/>
  <c r="M53" i="2"/>
  <c r="E54" i="2"/>
  <c r="F54" i="2"/>
  <c r="G54" i="2"/>
  <c r="H54" i="2"/>
  <c r="I54" i="2"/>
  <c r="J54" i="2"/>
  <c r="M54" i="2"/>
  <c r="E55" i="2"/>
  <c r="F55" i="2"/>
  <c r="G55" i="2"/>
  <c r="H55" i="2"/>
  <c r="I55" i="2"/>
  <c r="J55" i="2"/>
  <c r="M55" i="2"/>
  <c r="E56" i="2"/>
  <c r="F56" i="2"/>
  <c r="G56" i="2"/>
  <c r="H56" i="2"/>
  <c r="I56" i="2"/>
  <c r="J56" i="2"/>
  <c r="M56" i="2"/>
  <c r="E57" i="2"/>
  <c r="F57" i="2"/>
  <c r="G57" i="2"/>
  <c r="H57" i="2"/>
  <c r="I57" i="2"/>
  <c r="J57" i="2"/>
  <c r="M57" i="2"/>
  <c r="E58" i="2"/>
  <c r="F58" i="2"/>
  <c r="G58" i="2"/>
  <c r="H58" i="2"/>
  <c r="I58" i="2"/>
  <c r="J58" i="2"/>
  <c r="M58" i="2"/>
  <c r="E59" i="2"/>
  <c r="F59" i="2"/>
  <c r="G59" i="2"/>
  <c r="H59" i="2"/>
  <c r="I59" i="2"/>
  <c r="J59" i="2"/>
  <c r="M59" i="2"/>
  <c r="E60" i="2"/>
  <c r="F60" i="2"/>
  <c r="G60" i="2"/>
  <c r="H60" i="2"/>
  <c r="I60" i="2"/>
  <c r="J60" i="2"/>
  <c r="M60" i="2"/>
  <c r="E61" i="2"/>
  <c r="F61" i="2"/>
  <c r="G61" i="2"/>
  <c r="H61" i="2"/>
  <c r="I61" i="2"/>
  <c r="J61" i="2"/>
  <c r="M61" i="2"/>
  <c r="E62" i="2"/>
  <c r="F62" i="2"/>
  <c r="G62" i="2"/>
  <c r="H62" i="2"/>
  <c r="I62" i="2"/>
  <c r="J62" i="2"/>
  <c r="M62" i="2"/>
  <c r="E63" i="2"/>
  <c r="F63" i="2"/>
  <c r="G63" i="2"/>
  <c r="H63" i="2"/>
  <c r="I63" i="2"/>
  <c r="J63" i="2"/>
  <c r="M63" i="2"/>
  <c r="E64" i="2"/>
  <c r="F64" i="2"/>
  <c r="G64" i="2"/>
  <c r="H64" i="2"/>
  <c r="I64" i="2"/>
  <c r="J64" i="2"/>
  <c r="M64" i="2"/>
  <c r="E65" i="2"/>
  <c r="F65" i="2"/>
  <c r="G65" i="2"/>
  <c r="H65" i="2"/>
  <c r="I65" i="2"/>
  <c r="J65" i="2"/>
  <c r="M65" i="2"/>
  <c r="E66" i="2"/>
  <c r="F66" i="2"/>
  <c r="G66" i="2"/>
  <c r="H66" i="2"/>
  <c r="I66" i="2"/>
  <c r="J66" i="2"/>
  <c r="M66" i="2"/>
  <c r="E67" i="2"/>
  <c r="F67" i="2"/>
  <c r="G67" i="2"/>
  <c r="H67" i="2"/>
  <c r="I67" i="2"/>
  <c r="J67" i="2"/>
  <c r="M67" i="2"/>
  <c r="E68" i="2"/>
  <c r="F68" i="2"/>
  <c r="G68" i="2"/>
  <c r="H68" i="2"/>
  <c r="I68" i="2"/>
  <c r="J68" i="2"/>
  <c r="M68" i="2"/>
  <c r="E69" i="2"/>
  <c r="F69" i="2"/>
  <c r="G69" i="2"/>
  <c r="H69" i="2"/>
  <c r="I69" i="2"/>
  <c r="J69" i="2"/>
  <c r="M69" i="2"/>
  <c r="E70" i="2"/>
  <c r="F70" i="2"/>
  <c r="G70" i="2"/>
  <c r="H70" i="2"/>
  <c r="I70" i="2"/>
  <c r="J70" i="2"/>
  <c r="M70" i="2"/>
  <c r="E71" i="2"/>
  <c r="F71" i="2"/>
  <c r="G71" i="2"/>
  <c r="H71" i="2"/>
  <c r="I71" i="2"/>
  <c r="J71" i="2"/>
  <c r="M71" i="2"/>
  <c r="E72" i="2"/>
  <c r="F72" i="2"/>
  <c r="G72" i="2"/>
  <c r="H72" i="2"/>
  <c r="I72" i="2"/>
  <c r="J72" i="2"/>
  <c r="M72" i="2"/>
  <c r="E73" i="2"/>
  <c r="F73" i="2"/>
  <c r="G73" i="2"/>
  <c r="H73" i="2"/>
  <c r="I73" i="2"/>
  <c r="J73" i="2"/>
  <c r="M73" i="2"/>
  <c r="E74" i="2"/>
  <c r="F74" i="2"/>
  <c r="G74" i="2"/>
  <c r="H74" i="2"/>
  <c r="I74" i="2"/>
  <c r="J74" i="2"/>
  <c r="M74" i="2"/>
  <c r="E75" i="2"/>
  <c r="F75" i="2"/>
  <c r="G75" i="2"/>
  <c r="H75" i="2"/>
  <c r="I75" i="2"/>
  <c r="J75" i="2"/>
  <c r="M75" i="2"/>
  <c r="E76" i="2"/>
  <c r="F76" i="2"/>
  <c r="G76" i="2"/>
  <c r="H76" i="2"/>
  <c r="I76" i="2"/>
  <c r="J76" i="2"/>
  <c r="M76" i="2"/>
  <c r="E77" i="2"/>
  <c r="F77" i="2"/>
  <c r="G77" i="2"/>
  <c r="H77" i="2"/>
  <c r="I77" i="2"/>
  <c r="J77" i="2"/>
  <c r="M77" i="2"/>
  <c r="E78" i="2"/>
  <c r="F78" i="2"/>
  <c r="G78" i="2"/>
  <c r="H78" i="2"/>
  <c r="I78" i="2"/>
  <c r="J78" i="2"/>
  <c r="M78" i="2"/>
  <c r="E79" i="2"/>
  <c r="F79" i="2"/>
  <c r="G79" i="2"/>
  <c r="H79" i="2"/>
  <c r="I79" i="2"/>
  <c r="J79" i="2"/>
  <c r="M79" i="2"/>
  <c r="E80" i="2"/>
  <c r="F80" i="2"/>
  <c r="G80" i="2"/>
  <c r="H80" i="2"/>
  <c r="I80" i="2"/>
  <c r="J80" i="2"/>
  <c r="M80" i="2"/>
  <c r="E81" i="2"/>
  <c r="F81" i="2"/>
  <c r="G81" i="2"/>
  <c r="H81" i="2"/>
  <c r="I81" i="2"/>
  <c r="J81" i="2"/>
  <c r="M81" i="2"/>
  <c r="E82" i="2"/>
  <c r="F82" i="2"/>
  <c r="G82" i="2"/>
  <c r="H82" i="2"/>
  <c r="I82" i="2"/>
  <c r="J82" i="2"/>
  <c r="M82" i="2"/>
  <c r="E83" i="2"/>
  <c r="F83" i="2"/>
  <c r="G83" i="2"/>
  <c r="H83" i="2"/>
  <c r="I83" i="2"/>
  <c r="J83" i="2"/>
  <c r="M83" i="2"/>
  <c r="E84" i="2"/>
  <c r="F84" i="2"/>
  <c r="G84" i="2"/>
  <c r="H84" i="2"/>
  <c r="I84" i="2"/>
  <c r="J84" i="2"/>
  <c r="M84" i="2"/>
  <c r="E85" i="2"/>
  <c r="F85" i="2"/>
  <c r="G85" i="2"/>
  <c r="H85" i="2"/>
  <c r="I85" i="2"/>
  <c r="J85" i="2"/>
  <c r="M85" i="2"/>
  <c r="E86" i="2"/>
  <c r="F86" i="2"/>
  <c r="G86" i="2"/>
  <c r="H86" i="2"/>
  <c r="I86" i="2"/>
  <c r="J86" i="2"/>
  <c r="M86" i="2"/>
  <c r="E87" i="2"/>
  <c r="F87" i="2"/>
  <c r="G87" i="2"/>
  <c r="H87" i="2"/>
  <c r="I87" i="2"/>
  <c r="J87" i="2"/>
  <c r="M87" i="2"/>
  <c r="E88" i="2"/>
  <c r="F88" i="2"/>
  <c r="G88" i="2"/>
  <c r="H88" i="2"/>
  <c r="I88" i="2"/>
  <c r="J88" i="2"/>
  <c r="M88" i="2"/>
  <c r="E89" i="2"/>
  <c r="F89" i="2"/>
  <c r="G89" i="2"/>
  <c r="H89" i="2"/>
  <c r="I89" i="2"/>
  <c r="J89" i="2"/>
  <c r="M89" i="2"/>
  <c r="E90" i="2"/>
  <c r="F90" i="2"/>
  <c r="G90" i="2"/>
  <c r="H90" i="2"/>
  <c r="I90" i="2"/>
  <c r="J90" i="2"/>
  <c r="M90" i="2"/>
  <c r="E91" i="2"/>
  <c r="F91" i="2"/>
  <c r="G91" i="2"/>
  <c r="H91" i="2"/>
  <c r="I91" i="2"/>
  <c r="J91" i="2"/>
  <c r="M91" i="2"/>
  <c r="E92" i="2"/>
  <c r="F92" i="2"/>
  <c r="G92" i="2"/>
  <c r="H92" i="2"/>
  <c r="I92" i="2"/>
  <c r="J92" i="2"/>
  <c r="M92" i="2"/>
  <c r="E93" i="2"/>
  <c r="F93" i="2"/>
  <c r="G93" i="2"/>
  <c r="H93" i="2"/>
  <c r="I93" i="2"/>
  <c r="J93" i="2"/>
  <c r="M93" i="2"/>
  <c r="E94" i="2"/>
  <c r="F94" i="2"/>
  <c r="G94" i="2"/>
  <c r="H94" i="2"/>
  <c r="I94" i="2"/>
  <c r="J94" i="2"/>
  <c r="M94" i="2"/>
  <c r="E95" i="2"/>
  <c r="F95" i="2"/>
  <c r="G95" i="2"/>
  <c r="H95" i="2"/>
  <c r="I95" i="2"/>
  <c r="J95" i="2"/>
  <c r="M95" i="2"/>
  <c r="E96" i="2"/>
  <c r="F96" i="2"/>
  <c r="G96" i="2"/>
  <c r="H96" i="2"/>
  <c r="I96" i="2"/>
  <c r="J96" i="2"/>
  <c r="M96" i="2"/>
  <c r="E97" i="2"/>
  <c r="F97" i="2"/>
  <c r="G97" i="2"/>
  <c r="H97" i="2"/>
  <c r="I97" i="2"/>
  <c r="J97" i="2"/>
  <c r="M97" i="2"/>
  <c r="E98" i="2"/>
  <c r="F98" i="2"/>
  <c r="G98" i="2"/>
  <c r="H98" i="2"/>
  <c r="I98" i="2"/>
  <c r="J98" i="2"/>
  <c r="M98" i="2"/>
  <c r="E99" i="2"/>
  <c r="F99" i="2"/>
  <c r="G99" i="2"/>
  <c r="H99" i="2"/>
  <c r="I99" i="2"/>
  <c r="J99" i="2"/>
  <c r="M99" i="2"/>
  <c r="E100" i="2"/>
  <c r="F100" i="2"/>
  <c r="G100" i="2"/>
  <c r="H100" i="2"/>
  <c r="I100" i="2"/>
  <c r="J100" i="2"/>
  <c r="M100" i="2"/>
  <c r="E101" i="2"/>
  <c r="F101" i="2"/>
  <c r="G101" i="2"/>
  <c r="H101" i="2"/>
  <c r="I101" i="2"/>
  <c r="J101" i="2"/>
  <c r="M101" i="2"/>
  <c r="E102" i="2"/>
  <c r="F102" i="2"/>
  <c r="G102" i="2"/>
  <c r="H102" i="2"/>
  <c r="I102" i="2"/>
  <c r="J102" i="2"/>
  <c r="M102" i="2"/>
  <c r="E103" i="2"/>
  <c r="F103" i="2"/>
  <c r="G103" i="2"/>
  <c r="H103" i="2"/>
  <c r="I103" i="2"/>
  <c r="J103" i="2"/>
  <c r="M103" i="2"/>
  <c r="E104" i="2"/>
  <c r="F104" i="2"/>
  <c r="G104" i="2"/>
  <c r="H104" i="2"/>
  <c r="I104" i="2"/>
  <c r="J104" i="2"/>
  <c r="M104" i="2"/>
  <c r="E105" i="2"/>
  <c r="F105" i="2"/>
  <c r="G105" i="2"/>
  <c r="H105" i="2"/>
  <c r="I105" i="2"/>
  <c r="J105" i="2"/>
  <c r="M105" i="2"/>
  <c r="E106" i="2"/>
  <c r="F106" i="2"/>
  <c r="G106" i="2"/>
  <c r="H106" i="2"/>
  <c r="I106" i="2"/>
  <c r="J106" i="2"/>
  <c r="M106" i="2"/>
  <c r="E107" i="2"/>
  <c r="F107" i="2"/>
  <c r="G107" i="2"/>
  <c r="H107" i="2"/>
  <c r="I107" i="2"/>
  <c r="J107" i="2"/>
  <c r="M107" i="2"/>
  <c r="E108" i="2"/>
  <c r="F108" i="2"/>
  <c r="G108" i="2"/>
  <c r="H108" i="2"/>
  <c r="I108" i="2"/>
  <c r="J108" i="2"/>
  <c r="M108" i="2"/>
  <c r="E109" i="2"/>
  <c r="F109" i="2"/>
  <c r="G109" i="2"/>
  <c r="H109" i="2"/>
  <c r="I109" i="2"/>
  <c r="J109" i="2"/>
  <c r="M109" i="2"/>
  <c r="E110" i="2"/>
  <c r="F110" i="2"/>
  <c r="G110" i="2"/>
  <c r="H110" i="2"/>
  <c r="I110" i="2"/>
  <c r="J110" i="2"/>
  <c r="M110" i="2"/>
  <c r="E111" i="2"/>
  <c r="F111" i="2"/>
  <c r="G111" i="2"/>
  <c r="H111" i="2"/>
  <c r="I111" i="2"/>
  <c r="J111" i="2"/>
  <c r="M111" i="2"/>
  <c r="E112" i="2"/>
  <c r="F112" i="2"/>
  <c r="G112" i="2"/>
  <c r="H112" i="2"/>
  <c r="I112" i="2"/>
  <c r="J112" i="2"/>
  <c r="M112" i="2"/>
  <c r="E113" i="2"/>
  <c r="F113" i="2"/>
  <c r="G113" i="2"/>
  <c r="H113" i="2"/>
  <c r="I113" i="2"/>
  <c r="J113" i="2"/>
  <c r="M113" i="2"/>
  <c r="E114" i="2"/>
  <c r="F114" i="2"/>
  <c r="G114" i="2"/>
  <c r="H114" i="2"/>
  <c r="I114" i="2"/>
  <c r="J114" i="2"/>
  <c r="M114" i="2"/>
  <c r="E115" i="2"/>
  <c r="F115" i="2"/>
  <c r="G115" i="2"/>
  <c r="H115" i="2"/>
  <c r="I115" i="2"/>
  <c r="J115" i="2"/>
  <c r="M115" i="2"/>
  <c r="E116" i="2"/>
  <c r="F116" i="2"/>
  <c r="G116" i="2"/>
  <c r="H116" i="2"/>
  <c r="I116" i="2"/>
  <c r="J116" i="2"/>
  <c r="M116" i="2"/>
  <c r="E117" i="2"/>
  <c r="F117" i="2"/>
  <c r="G117" i="2"/>
  <c r="H117" i="2"/>
  <c r="I117" i="2"/>
  <c r="J117" i="2"/>
  <c r="M117" i="2"/>
  <c r="E118" i="2"/>
  <c r="F118" i="2"/>
  <c r="G118" i="2"/>
  <c r="H118" i="2"/>
  <c r="I118" i="2"/>
  <c r="J118" i="2"/>
  <c r="M118" i="2"/>
  <c r="E119" i="2"/>
  <c r="F119" i="2"/>
  <c r="G119" i="2"/>
  <c r="H119" i="2"/>
  <c r="I119" i="2"/>
  <c r="J119" i="2"/>
  <c r="M119" i="2"/>
  <c r="E120" i="2"/>
  <c r="F120" i="2"/>
  <c r="G120" i="2"/>
  <c r="H120" i="2"/>
  <c r="I120" i="2"/>
  <c r="J120" i="2"/>
  <c r="M120" i="2"/>
  <c r="E121" i="2"/>
  <c r="F121" i="2"/>
  <c r="G121" i="2"/>
  <c r="H121" i="2"/>
  <c r="I121" i="2"/>
  <c r="J121" i="2"/>
  <c r="M121" i="2"/>
  <c r="E122" i="2"/>
  <c r="F122" i="2"/>
  <c r="G122" i="2"/>
  <c r="H122" i="2"/>
  <c r="I122" i="2"/>
  <c r="J122" i="2"/>
  <c r="M122" i="2"/>
  <c r="E123" i="2"/>
  <c r="F123" i="2"/>
  <c r="G123" i="2"/>
  <c r="H123" i="2"/>
  <c r="I123" i="2"/>
  <c r="J123" i="2"/>
  <c r="M123" i="2"/>
  <c r="E124" i="2"/>
  <c r="F124" i="2"/>
  <c r="G124" i="2"/>
  <c r="H124" i="2"/>
  <c r="I124" i="2"/>
  <c r="J124" i="2"/>
  <c r="M124" i="2"/>
  <c r="E125" i="2"/>
  <c r="F125" i="2"/>
  <c r="G125" i="2"/>
  <c r="H125" i="2"/>
  <c r="I125" i="2"/>
  <c r="J125" i="2"/>
  <c r="M125" i="2"/>
  <c r="E126" i="2"/>
  <c r="F126" i="2"/>
  <c r="G126" i="2"/>
  <c r="H126" i="2"/>
  <c r="I126" i="2"/>
  <c r="J126" i="2"/>
  <c r="M126" i="2"/>
  <c r="E127" i="2"/>
  <c r="F127" i="2"/>
  <c r="G127" i="2"/>
  <c r="H127" i="2"/>
  <c r="I127" i="2"/>
  <c r="J127" i="2"/>
  <c r="M127" i="2"/>
  <c r="E128" i="2"/>
  <c r="F128" i="2"/>
  <c r="G128" i="2"/>
  <c r="H128" i="2"/>
  <c r="I128" i="2"/>
  <c r="J128" i="2"/>
  <c r="M128" i="2"/>
  <c r="E129" i="2"/>
  <c r="F129" i="2"/>
  <c r="G129" i="2"/>
  <c r="H129" i="2"/>
  <c r="I129" i="2"/>
  <c r="J129" i="2"/>
  <c r="M129" i="2"/>
  <c r="E130" i="2"/>
  <c r="F130" i="2"/>
  <c r="G130" i="2"/>
  <c r="H130" i="2"/>
  <c r="I130" i="2"/>
  <c r="J130" i="2"/>
  <c r="M130" i="2"/>
  <c r="E131" i="2"/>
  <c r="F131" i="2"/>
  <c r="G131" i="2"/>
  <c r="H131" i="2"/>
  <c r="I131" i="2"/>
  <c r="J131" i="2"/>
  <c r="M131" i="2"/>
  <c r="E132" i="2"/>
  <c r="F132" i="2"/>
  <c r="G132" i="2"/>
  <c r="H132" i="2"/>
  <c r="I132" i="2"/>
  <c r="J132" i="2"/>
  <c r="M132" i="2"/>
  <c r="E133" i="2"/>
  <c r="F133" i="2"/>
  <c r="G133" i="2"/>
  <c r="H133" i="2"/>
  <c r="I133" i="2"/>
  <c r="J133" i="2"/>
  <c r="M133" i="2"/>
  <c r="E134" i="2"/>
  <c r="F134" i="2"/>
  <c r="G134" i="2"/>
  <c r="H134" i="2"/>
  <c r="I134" i="2"/>
  <c r="J134" i="2"/>
  <c r="M134" i="2"/>
  <c r="E135" i="2"/>
  <c r="F135" i="2"/>
  <c r="G135" i="2"/>
  <c r="H135" i="2"/>
  <c r="I135" i="2"/>
  <c r="J135" i="2"/>
  <c r="M135" i="2"/>
  <c r="E136" i="2"/>
  <c r="F136" i="2"/>
  <c r="G136" i="2"/>
  <c r="H136" i="2"/>
  <c r="I136" i="2"/>
  <c r="J136" i="2"/>
  <c r="M136" i="2"/>
  <c r="E137" i="2"/>
  <c r="F137" i="2"/>
  <c r="G137" i="2"/>
  <c r="H137" i="2"/>
  <c r="I137" i="2"/>
  <c r="J137" i="2"/>
  <c r="M137" i="2"/>
  <c r="E138" i="2"/>
  <c r="F138" i="2"/>
  <c r="G138" i="2"/>
  <c r="H138" i="2"/>
  <c r="I138" i="2"/>
  <c r="J138" i="2"/>
  <c r="M138" i="2"/>
  <c r="E139" i="2"/>
  <c r="F139" i="2"/>
  <c r="G139" i="2"/>
  <c r="H139" i="2"/>
  <c r="I139" i="2"/>
  <c r="J139" i="2"/>
  <c r="M139" i="2"/>
  <c r="E140" i="2"/>
  <c r="F140" i="2"/>
  <c r="G140" i="2"/>
  <c r="H140" i="2"/>
  <c r="I140" i="2"/>
  <c r="J140" i="2"/>
  <c r="M140" i="2"/>
  <c r="E141" i="2"/>
  <c r="F141" i="2"/>
  <c r="G141" i="2"/>
  <c r="H141" i="2"/>
  <c r="I141" i="2"/>
  <c r="J141" i="2"/>
  <c r="M141" i="2"/>
  <c r="E142" i="2"/>
  <c r="F142" i="2"/>
  <c r="G142" i="2"/>
  <c r="H142" i="2"/>
  <c r="I142" i="2"/>
  <c r="J142" i="2"/>
  <c r="M142" i="2"/>
  <c r="E143" i="2"/>
  <c r="F143" i="2"/>
  <c r="G143" i="2"/>
  <c r="H143" i="2"/>
  <c r="I143" i="2"/>
  <c r="J143" i="2"/>
  <c r="M143" i="2"/>
  <c r="E144" i="2"/>
  <c r="F144" i="2"/>
  <c r="G144" i="2"/>
  <c r="H144" i="2"/>
  <c r="I144" i="2"/>
  <c r="J144" i="2"/>
  <c r="M144" i="2"/>
  <c r="E145" i="2"/>
  <c r="F145" i="2"/>
  <c r="G145" i="2"/>
  <c r="H145" i="2"/>
  <c r="I145" i="2"/>
  <c r="J145" i="2"/>
  <c r="M145" i="2"/>
  <c r="E146" i="2"/>
  <c r="F146" i="2"/>
  <c r="G146" i="2"/>
  <c r="H146" i="2"/>
  <c r="I146" i="2"/>
  <c r="J146" i="2"/>
  <c r="M146" i="2"/>
  <c r="E147" i="2"/>
  <c r="F147" i="2"/>
  <c r="G147" i="2"/>
  <c r="H147" i="2"/>
  <c r="I147" i="2"/>
  <c r="J147" i="2"/>
  <c r="M147" i="2"/>
  <c r="E148" i="2"/>
  <c r="F148" i="2"/>
  <c r="G148" i="2"/>
  <c r="H148" i="2"/>
  <c r="I148" i="2"/>
  <c r="J148" i="2"/>
  <c r="M148" i="2"/>
  <c r="E149" i="2"/>
  <c r="F149" i="2"/>
  <c r="G149" i="2"/>
  <c r="H149" i="2"/>
  <c r="I149" i="2"/>
  <c r="J149" i="2"/>
  <c r="M149" i="2"/>
  <c r="E150" i="2"/>
  <c r="F150" i="2"/>
  <c r="G150" i="2"/>
  <c r="H150" i="2"/>
  <c r="I150" i="2"/>
  <c r="J150" i="2"/>
  <c r="M150" i="2"/>
  <c r="E151" i="2"/>
  <c r="F151" i="2"/>
  <c r="G151" i="2"/>
  <c r="H151" i="2"/>
  <c r="I151" i="2"/>
  <c r="J151" i="2"/>
  <c r="M151" i="2"/>
  <c r="E152" i="2"/>
  <c r="F152" i="2"/>
  <c r="G152" i="2"/>
  <c r="H152" i="2"/>
  <c r="I152" i="2"/>
  <c r="J152" i="2"/>
  <c r="M152" i="2"/>
  <c r="E153" i="2"/>
  <c r="F153" i="2"/>
  <c r="G153" i="2"/>
  <c r="H153" i="2"/>
  <c r="I153" i="2"/>
  <c r="J153" i="2"/>
  <c r="M153" i="2"/>
  <c r="E154" i="2"/>
  <c r="F154" i="2"/>
  <c r="G154" i="2"/>
  <c r="H154" i="2"/>
  <c r="I154" i="2"/>
  <c r="J154" i="2"/>
  <c r="M154" i="2"/>
  <c r="E155" i="2"/>
  <c r="F155" i="2"/>
  <c r="G155" i="2"/>
  <c r="H155" i="2"/>
  <c r="I155" i="2"/>
  <c r="J155" i="2"/>
  <c r="M155" i="2"/>
  <c r="E156" i="2"/>
  <c r="F156" i="2"/>
  <c r="G156" i="2"/>
  <c r="H156" i="2"/>
  <c r="I156" i="2"/>
  <c r="J156" i="2"/>
  <c r="M156" i="2"/>
  <c r="E157" i="2"/>
  <c r="F157" i="2"/>
  <c r="G157" i="2"/>
  <c r="H157" i="2"/>
  <c r="I157" i="2"/>
  <c r="J157" i="2"/>
  <c r="M157" i="2"/>
  <c r="E158" i="2"/>
  <c r="F158" i="2"/>
  <c r="G158" i="2"/>
  <c r="H158" i="2"/>
  <c r="I158" i="2"/>
  <c r="J158" i="2"/>
  <c r="M158" i="2"/>
  <c r="M3" i="2"/>
  <c r="J3" i="2"/>
  <c r="I3" i="2"/>
  <c r="H3" i="2"/>
  <c r="G3" i="2"/>
  <c r="F3" i="2"/>
  <c r="E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</calcChain>
</file>

<file path=xl/sharedStrings.xml><?xml version="1.0" encoding="utf-8"?>
<sst xmlns="http://schemas.openxmlformats.org/spreadsheetml/2006/main" count="4036" uniqueCount="481">
  <si>
    <t>Country</t>
  </si>
  <si>
    <t>Fertility</t>
  </si>
  <si>
    <t>ISO-code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</si>
  <si>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</si>
  <si>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</si>
  <si>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</si>
  <si>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</si>
  <si>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</si>
  <si>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</si>
  <si>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</si>
  <si>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</si>
  <si>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</si>
  <si>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</si>
  <si>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</si>
  <si>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</si>
  <si>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</si>
  <si>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</si>
  <si>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</si>
  <si>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</si>
  <si>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</si>
  <si>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</si>
  <si>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</si>
  <si>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</si>
  <si>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</si>
  <si>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</si>
  <si>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</si>
  <si>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</si>
  <si>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</si>
  <si>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</si>
  <si>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</si>
  <si>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</si>
  <si>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</si>
  <si>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</si>
  <si>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</si>
  <si>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</si>
  <si>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</si>
  <si>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</si>
  <si>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</si>
  <si>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</si>
  <si>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</si>
  <si>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</si>
  <si>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</si>
  <si>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</si>
  <si>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</si>
  <si>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</si>
  <si>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</si>
  <si>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</si>
  <si>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</si>
  <si>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</si>
  <si>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</si>
  <si>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</si>
  <si>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</si>
  <si>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</si>
  <si>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</si>
  <si>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</si>
  <si>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</si>
  <si>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</si>
  <si>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</si>
  <si>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</si>
  <si>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</si>
  <si>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</si>
  <si>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</si>
  <si>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</si>
  <si>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</si>
  <si>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</si>
  <si>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</si>
  <si>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</si>
  <si>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</si>
  <si>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</si>
  <si>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</si>
  <si>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</si>
  <si>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</si>
  <si>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</si>
  <si>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</si>
  <si>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</si>
  <si>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</si>
  <si>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</si>
  <si>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</si>
  <si>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</si>
  <si>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</si>
  <si>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</si>
  <si>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Costa Rica</t>
  </si>
  <si>
    <t>CRI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</si>
  <si>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</si>
  <si>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</si>
  <si>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</si>
  <si>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</si>
  <si>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</si>
  <si>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</si>
  <si>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</si>
  <si>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</si>
  <si>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</si>
  <si>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</si>
  <si>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</si>
  <si>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</si>
  <si>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</si>
  <si>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</si>
  <si>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</si>
  <si>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</si>
  <si>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</si>
  <si>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</si>
  <si>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</si>
  <si>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</si>
  <si>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</si>
  <si>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</si>
  <si>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</si>
  <si>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</si>
  <si>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</si>
  <si>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</si>
  <si>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</si>
  <si>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</si>
  <si>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</si>
  <si>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</si>
  <si>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</si>
  <si>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</si>
  <si>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</si>
  <si>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</si>
  <si>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</si>
  <si>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</si>
  <si>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</si>
  <si>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</si>
  <si>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</si>
  <si>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</si>
  <si>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</si>
  <si>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</si>
  <si>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</si>
  <si>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</si>
  <si>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</si>
  <si>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</si>
  <si>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</si>
  <si>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</si>
  <si>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</si>
  <si>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</si>
  <si>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</si>
  <si>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</si>
  <si>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</si>
  <si>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</si>
  <si>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</si>
  <si>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</si>
  <si>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</si>
  <si>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</si>
  <si>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</si>
  <si>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</si>
  <si>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</si>
  <si>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</si>
  <si>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</si>
  <si>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</si>
  <si>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</si>
  <si>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</si>
  <si>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</si>
  <si>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</si>
  <si>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</si>
  <si>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</si>
  <si>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</si>
  <si>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</si>
  <si>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</si>
  <si>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</si>
  <si>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</si>
  <si>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</si>
  <si>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</si>
  <si>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</si>
  <si>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</si>
  <si>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</si>
  <si>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</si>
  <si>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</si>
  <si>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</si>
  <si>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</si>
  <si>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</si>
  <si>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</si>
  <si>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</si>
  <si>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</si>
  <si>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</si>
  <si>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</si>
  <si>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</si>
  <si>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</si>
  <si>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</si>
  <si>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</si>
  <si>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</si>
  <si>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</si>
  <si>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</si>
  <si>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</si>
  <si>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</si>
  <si>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</si>
  <si>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</si>
  <si>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</si>
  <si>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</si>
  <si>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</si>
  <si>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</si>
  <si>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</si>
  <si>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</si>
  <si>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</si>
  <si>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</si>
  <si>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</si>
  <si>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</si>
  <si>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</si>
  <si>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</si>
  <si>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</si>
  <si>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</si>
  <si>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</si>
  <si>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</si>
  <si>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</si>
  <si>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</si>
  <si>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</si>
  <si>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</si>
  <si>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</si>
  <si>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</si>
  <si>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</si>
  <si>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</si>
  <si>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</si>
  <si>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</si>
  <si>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</si>
  <si>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</si>
  <si>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</si>
  <si>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</si>
  <si>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</si>
  <si>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</si>
  <si>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</si>
  <si>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</si>
  <si>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</si>
  <si>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</si>
  <si>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</si>
  <si>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</si>
  <si>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</si>
  <si>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</si>
  <si>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</si>
  <si>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</si>
  <si>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</si>
  <si>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</si>
  <si>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</si>
  <si>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</si>
  <si>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</si>
  <si>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</si>
  <si>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</si>
  <si>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</si>
  <si>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</si>
  <si>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</si>
  <si>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</si>
  <si>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</si>
  <si>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</si>
  <si>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</si>
  <si>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</si>
  <si>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</si>
  <si>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</si>
  <si>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</si>
  <si>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</si>
  <si>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</si>
  <si>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</si>
  <si>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</si>
  <si>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</si>
  <si>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</si>
  <si>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</si>
  <si>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</si>
  <si>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</si>
  <si>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</si>
  <si>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</si>
  <si>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</si>
  <si>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</si>
  <si>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</si>
  <si>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</si>
  <si>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</si>
  <si>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</si>
  <si>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</si>
  <si>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</si>
  <si>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</si>
  <si>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</si>
  <si>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</si>
  <si>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</si>
  <si>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</si>
  <si>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</si>
  <si>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</si>
  <si>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</si>
  <si>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</si>
  <si>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</si>
  <si>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</si>
  <si>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</si>
  <si>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</si>
  <si>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</si>
  <si>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</si>
  <si>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</si>
  <si>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</si>
  <si>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</si>
  <si>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</si>
  <si>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</si>
  <si>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</si>
  <si>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</si>
  <si>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</si>
  <si>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</si>
  <si>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</si>
  <si>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</si>
  <si>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</si>
  <si>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</si>
  <si>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</si>
  <si>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</si>
  <si>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</si>
  <si>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</si>
  <si>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the Congo</t>
  </si>
  <si>
    <t>COG</t>
  </si>
  <si>
    <t>Romania</t>
  </si>
  <si>
    <t>ROU</t>
  </si>
  <si>
    <t>Russia</t>
  </si>
  <si>
    <t>RUS</t>
  </si>
  <si>
    <t>Rwanda</t>
  </si>
  <si>
    <t>RWA</t>
  </si>
  <si>
    <t>Saint Martin</t>
  </si>
  <si>
    <t>MAF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</si>
  <si>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</si>
  <si>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</si>
  <si>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</si>
  <si>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</si>
  <si>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</si>
  <si>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</si>
  <si>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</si>
  <si>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</si>
  <si>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</si>
  <si>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</si>
  <si>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</si>
  <si>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</si>
  <si>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</si>
  <si>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</si>
  <si>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</si>
  <si>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</si>
  <si>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</si>
  <si>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</si>
  <si>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</t>
  </si>
  <si>
    <t>SXM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</si>
  <si>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</si>
  <si>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</si>
  <si>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</si>
  <si>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</si>
  <si>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</si>
  <si>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</si>
  <si>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</si>
  <si>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</si>
  <si>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</si>
  <si>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</si>
  <si>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</si>
  <si>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</si>
  <si>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</si>
  <si>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</si>
  <si>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</si>
  <si>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</si>
  <si>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</si>
  <si>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</si>
  <si>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</si>
  <si>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</si>
  <si>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</si>
  <si>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</si>
  <si>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</si>
  <si>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</si>
  <si>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</si>
  <si>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</si>
  <si>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</si>
  <si>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</si>
  <si>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</si>
  <si>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</si>
  <si>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</si>
  <si>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</si>
  <si>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The Bahamas</t>
  </si>
  <si>
    <t>BHS</t>
  </si>
  <si>
    <t>The Gambia</t>
  </si>
  <si>
    <t>GMB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</si>
  <si>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</si>
  <si>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</si>
  <si>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</si>
  <si>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</si>
  <si>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</si>
  <si>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</si>
  <si>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</si>
  <si>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</si>
  <si>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</si>
  <si>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</si>
  <si>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</si>
  <si>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</si>
  <si>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</si>
  <si>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</si>
  <si>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</si>
  <si>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</si>
  <si>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</si>
  <si>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</si>
  <si>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</si>
  <si>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</si>
  <si>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</si>
  <si>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</si>
  <si>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</si>
  <si>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</si>
  <si>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</si>
  <si>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</si>
  <si>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</si>
  <si>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</si>
  <si>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</si>
  <si>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</si>
  <si>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</si>
  <si>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</si>
  <si>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Virgin Islands</t>
  </si>
  <si>
    <t>VIR</t>
  </si>
  <si>
    <t>Yemen</t>
  </si>
  <si>
    <t>YEM</t>
  </si>
  <si>
    <t>Zambia</t>
  </si>
  <si>
    <t>ZMB</t>
  </si>
  <si>
    <t>Zimbabwe</t>
  </si>
  <si>
    <t>ZWE</t>
  </si>
  <si>
    <t>Urbanization rate</t>
  </si>
  <si>
    <t>Monaco</t>
  </si>
  <si>
    <t>MCO</t>
  </si>
  <si>
    <t>Nauru</t>
  </si>
  <si>
    <t>NRU</t>
  </si>
  <si>
    <t>Anguilla</t>
  </si>
  <si>
    <t>AIA</t>
  </si>
  <si>
    <t>Cayman Islands</t>
  </si>
  <si>
    <t>CYM</t>
  </si>
  <si>
    <t>Gibraltar</t>
  </si>
  <si>
    <t>GIB</t>
  </si>
  <si>
    <t>Puerto Rico</t>
  </si>
  <si>
    <t>PRI</t>
  </si>
  <si>
    <t>Turks and Caicos Islands</t>
  </si>
  <si>
    <t>TCA</t>
  </si>
  <si>
    <t>Northern Mariana Islands</t>
  </si>
  <si>
    <t>MNP</t>
  </si>
  <si>
    <t>Saint Pierre and Miquelon</t>
  </si>
  <si>
    <t>SPM</t>
  </si>
  <si>
    <t>American Samoa</t>
  </si>
  <si>
    <t>ASM</t>
  </si>
  <si>
    <t>Western Sahara</t>
  </si>
  <si>
    <t>ESH</t>
  </si>
  <si>
    <t>Taiwan</t>
  </si>
  <si>
    <t>TWN</t>
  </si>
  <si>
    <t>Palestine</t>
  </si>
  <si>
    <t>PSE</t>
  </si>
  <si>
    <t>Cook Islands</t>
  </si>
  <si>
    <t>COK</t>
  </si>
  <si>
    <t>Tuvalu</t>
  </si>
  <si>
    <t>TUV</t>
  </si>
  <si>
    <t>Slovakia</t>
  </si>
  <si>
    <t>SVK</t>
  </si>
  <si>
    <t>Saint Vincent and the Grenadines</t>
  </si>
  <si>
    <t>VCT</t>
  </si>
  <si>
    <t>Niue</t>
  </si>
  <si>
    <t>NIU</t>
  </si>
  <si>
    <t>Saint Helena, Ascension and Tristan da Cunha</t>
  </si>
  <si>
    <t>SHN</t>
  </si>
  <si>
    <t>Guernsey</t>
  </si>
  <si>
    <t>GGY</t>
  </si>
  <si>
    <t>Jersey</t>
  </si>
  <si>
    <t>JEY</t>
  </si>
  <si>
    <t>Saint Kitts and Nevis</t>
  </si>
  <si>
    <t>KNA</t>
  </si>
  <si>
    <t>Saint Lucia</t>
  </si>
  <si>
    <t>LCA</t>
  </si>
  <si>
    <t>Montserrat</t>
  </si>
  <si>
    <t>MSR</t>
  </si>
  <si>
    <t>Suicide rate</t>
  </si>
  <si>
    <t>Sex-ratio</t>
  </si>
  <si>
    <t>Gaza Strip</t>
  </si>
  <si>
    <t>Saint Barthelemy</t>
  </si>
  <si>
    <t>BLM</t>
  </si>
  <si>
    <t>Wallis and Futuna</t>
  </si>
  <si>
    <t>WLF</t>
  </si>
  <si>
    <t>Population growth</t>
  </si>
  <si>
    <t>Median age</t>
  </si>
  <si>
    <t>British Virgin Islands</t>
  </si>
  <si>
    <t>Meat consumption</t>
  </si>
  <si>
    <t>FR Yugoslavia</t>
  </si>
  <si>
    <t>French Guiana</t>
  </si>
  <si>
    <t>GUF</t>
  </si>
  <si>
    <t>Guadeloupe</t>
  </si>
  <si>
    <t>GLP</t>
  </si>
  <si>
    <t>Martinique</t>
  </si>
  <si>
    <t>MTQ</t>
  </si>
  <si>
    <t>Life expectancy</t>
  </si>
  <si>
    <t>Male Height in Cm</t>
  </si>
  <si>
    <t>Female Height in Cm</t>
  </si>
  <si>
    <t>Male Height in Ft</t>
  </si>
  <si>
    <t>Female Height in Ft</t>
  </si>
  <si>
    <t>Tokelau</t>
  </si>
  <si>
    <t>Bahamas</t>
  </si>
  <si>
    <t>DR Congo</t>
  </si>
  <si>
    <t>Gambia</t>
  </si>
  <si>
    <t>Guinea-Bissau</t>
  </si>
  <si>
    <t>Timor-Leste</t>
  </si>
  <si>
    <t>GDP per capita</t>
  </si>
  <si>
    <t>Urbanization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</si>
</sst>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F12C9-AAA3-4040-9183-69365546BA21}" name="Table1" displayName="Table1" ref="B2:D203" totalsRowShown="0">
  <autoFilter ref="B2:D203" xr:uid="{9E3F12C9-AAA3-4040-9183-69365546BA21}"/>
  <sortState xmlns:xlrd2="http://schemas.microsoft.com/office/spreadsheetml/2017/richdata2" ref="B3:D203">
    <sortCondition ref="B2:B203"/>
  </sortState>
  <tableColumns count="3">
    <tableColumn id="1" xr3:uid="{B17568FE-1610-5F48-86B7-2B22656EA56B}" name="Country"/>
    <tableColumn id="2" xr3:uid="{5DFEAC5E-6357-F449-8EF7-0050EFB6C013}" name="Fertility"/>
    <tableColumn id="3" xr3:uid="{066F7A62-8CA1-E743-B0A5-56161EC44405}" name="ISO-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738CC-64CE-C045-BD7F-17A706AE1F24}" name="Table2" displayName="Table2" ref="F2:H220" totalsRowShown="0">
  <autoFilter ref="F2:H220" xr:uid="{2D6738CC-64CE-C045-BD7F-17A706AE1F24}"/>
  <sortState xmlns:xlrd2="http://schemas.microsoft.com/office/spreadsheetml/2017/richdata2" ref="F3:H220">
    <sortCondition ref="F2:F220"/>
  </sortState>
  <tableColumns count="3">
    <tableColumn id="1" xr3:uid="{AF2F0239-CF46-6147-90BE-5BD6D29668B1}" name="Country"/>
    <tableColumn id="2" xr3:uid="{E1FC7E1E-1E6D-7446-9728-1822BAA5DFB2}" name="Urbanization rate"/>
    <tableColumn id="3" xr3:uid="{30D6A5D7-BF8E-3C49-992A-ACE726ACBAEE}" name="ISO-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F98E79-CF63-F243-8AAC-164E40860A26}" name="Table3" displayName="Table3" ref="J2:L184" totalsRowShown="0">
  <autoFilter ref="J2:L184" xr:uid="{26F98E79-CF63-F243-8AAC-164E40860A26}"/>
  <tableColumns count="3">
    <tableColumn id="1" xr3:uid="{044368AF-9DD8-7C47-9746-DDB4F11D722E}" name="Country"/>
    <tableColumn id="2" xr3:uid="{D142D4A0-D3B4-AF4B-9280-3AC3ED66FC29}" name="Suicide rate"/>
    <tableColumn id="3" xr3:uid="{E63F6536-FEF5-764A-A2C8-7D032EA457BD}" name="ISO-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149C62-15A5-5641-995C-2EDCE4DB2A9E}" name="Table4" displayName="Table4" ref="N2:P228" totalsRowShown="0">
  <autoFilter ref="N2:P228" xr:uid="{79149C62-15A5-5641-995C-2EDCE4DB2A9E}"/>
  <tableColumns count="3">
    <tableColumn id="1" xr3:uid="{91DDFCCA-45BF-064A-A16B-EDF56A177ED2}" name="Country"/>
    <tableColumn id="2" xr3:uid="{D73BEAA5-57A6-CB4A-B8DC-1C9F923AB4B9}" name="Sex-ratio"/>
    <tableColumn id="3" xr3:uid="{7BA4F303-3A00-9B4B-ABAB-0A4709D19D47}" name="ISO-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14EF26-20B7-0343-B73D-0F034F8036A2}" name="Table5" displayName="Table5" ref="R2:T209" totalsRowShown="0">
  <autoFilter ref="R2:T209" xr:uid="{E914EF26-20B7-0343-B73D-0F034F8036A2}"/>
  <tableColumns count="3">
    <tableColumn id="1" xr3:uid="{E7649AFA-60F0-0241-A590-21F42400CA9F}" name="Country"/>
    <tableColumn id="2" xr3:uid="{F82ED981-6360-3C4F-B119-11D74664AC0D}" name="Population growth"/>
    <tableColumn id="3" xr3:uid="{46AD675D-ACAD-A44A-BD3A-5A442F0EB561}" name="ISO-c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BC134A-0E60-7B44-9BBA-59BF75EBE7B7}" name="Table6" displayName="Table6" ref="V2:X225" totalsRowShown="0">
  <autoFilter ref="V2:X225" xr:uid="{71BC134A-0E60-7B44-9BBA-59BF75EBE7B7}"/>
  <tableColumns count="3">
    <tableColumn id="1" xr3:uid="{4C5397E4-2319-B547-B465-2C23BEFD1296}" name="Country"/>
    <tableColumn id="2" xr3:uid="{D9F906DD-ADEC-CF4A-BC47-8880A4C786B1}" name="Median age"/>
    <tableColumn id="3" xr3:uid="{DA44B7CD-0303-8A4B-9E81-2D7E5D29E6BF}" name="ISO-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392B8D-1E08-2349-AFD7-6505E389AA95}" name="Table7" displayName="Table7" ref="Z2:AB189" totalsRowShown="0">
  <autoFilter ref="Z2:AB189" xr:uid="{13392B8D-1E08-2349-AFD7-6505E389AA95}"/>
  <tableColumns count="3">
    <tableColumn id="1" xr3:uid="{AF514DA3-071A-3148-9777-22EFDDC6257F}" name="Country"/>
    <tableColumn id="2" xr3:uid="{483F713F-84FC-494F-AEE6-277BFCE26F29}" name="Meat consumption"/>
    <tableColumn id="3" xr3:uid="{63939251-7470-0C4A-B039-F2D861435D66}" name="ISO-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44CDA-0C49-844A-9916-44DA428B8C19}" name="Table8" displayName="Table8" ref="AD2:AF187" totalsRowShown="0">
  <autoFilter ref="AD2:AF187" xr:uid="{D1144CDA-0C49-844A-9916-44DA428B8C19}"/>
  <tableColumns count="3">
    <tableColumn id="1" xr3:uid="{C50D06E0-87FF-3448-8CFF-C85949DF80B2}" name="Country"/>
    <tableColumn id="2" xr3:uid="{FE40BE2F-05F7-4042-8890-6FC1D07DFC83}" name="Life expectancy"/>
    <tableColumn id="3" xr3:uid="{1CA6C3B8-3802-1247-B4EC-A9F74FF7BAC3}" name="ISO-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08A464-6EA1-9644-8078-919C090B4B24}" name="Table9" displayName="Table9" ref="AH2:AL201" totalsRowShown="0">
  <autoFilter ref="AH2:AL201" xr:uid="{9608A464-6EA1-9644-8078-919C090B4B24}"/>
  <sortState xmlns:xlrd2="http://schemas.microsoft.com/office/spreadsheetml/2017/richdata2" ref="AH3:AL201">
    <sortCondition ref="AH2:AH201"/>
  </sortState>
  <tableColumns count="5">
    <tableColumn id="2" xr3:uid="{3FFF1A1A-9058-574E-AFAC-30F046D9B020}" name="Country"/>
    <tableColumn id="3" xr3:uid="{389F24DC-B3E5-0D4C-A02C-6F3A75875ABC}" name="Male Height in Cm"/>
    <tableColumn id="4" xr3:uid="{344E5802-9AA9-E549-9A8A-C9EC8D7C27A1}" name="Female Height in Cm"/>
    <tableColumn id="5" xr3:uid="{F4F4D316-EF25-8241-9201-5ED533CD3754}" name="Male Height in Ft"/>
    <tableColumn id="6" xr3:uid="{824822A9-2145-8C4C-B54B-F10D14691059}" name="Female Height in 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5447E0-704D-6F41-B4DE-931FC51BB515}" name="Table10" displayName="Table10" ref="AN2:AP193" totalsRowShown="0">
  <autoFilter ref="AN2:AP193" xr:uid="{F45447E0-704D-6F41-B4DE-931FC51BB515}"/>
  <tableColumns count="3">
    <tableColumn id="1" xr3:uid="{EEE934C6-3F20-0F4F-A81F-812267BC20F2}" name="Country"/>
    <tableColumn id="2" xr3:uid="{3787B545-C7E2-904C-9352-402101F86E9D}" name="GDP per capita"/>
    <tableColumn id="3" xr3:uid="{5E2AF883-08A7-B145-BB67-D9FADA6B007C}" name="ISO-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AF2086-ECFE-3845-8B80-3BD0C989B12C}" name="Table11" displayName="Table11" ref="B2:M159" totalsRowCount="1">
  <autoFilter ref="B2:M158" xr:uid="{C5AF2086-ECFE-3845-8B80-3BD0C989B12C}"/>
  <tableColumns count="12">
    <tableColumn id="1" xr3:uid="{D33DAE36-D91B-614B-AA43-097652C7E0BF}" name="Country" totalsRowFunction="count"/>
    <tableColumn id="2" xr3:uid="{A955029A-F2FD-2A4E-B6F5-35776A311942}" name="Fertility">
      <calculatedColumnFormula>VLOOKUP('master table'!B3,Table1[#All], 2,FALSE)</calculatedColumnFormula>
    </tableColumn>
    <tableColumn id="3" xr3:uid="{C762A704-56E0-BA49-8873-B8881CFF8AD5}" name="Urbanization Rate">
      <calculatedColumnFormula>VLOOKUP('master table'!B3,Table2[#All], 2,FALSE)</calculatedColumnFormula>
    </tableColumn>
    <tableColumn id="4" xr3:uid="{0B493966-221B-3C47-A10D-4C97D6B0DAE0}" name="Suicide rate">
      <calculatedColumnFormula>VLOOKUP('master table'!B3,Table3[#All], 2,FALSE)</calculatedColumnFormula>
    </tableColumn>
    <tableColumn id="5" xr3:uid="{4CDE26E9-DCD2-2744-8F05-CC75B5AD50C8}" name="Sex-ratio">
      <calculatedColumnFormula>VLOOKUP('master table'!B3,Table4[#All], 2,FALSE)</calculatedColumnFormula>
    </tableColumn>
    <tableColumn id="6" xr3:uid="{AEC056E4-22E7-614A-8C4C-8940CE4C8C78}" name="Population growth">
      <calculatedColumnFormula>VLOOKUP('master table'!B3,Table5[#All], 2,FALSE)</calculatedColumnFormula>
    </tableColumn>
    <tableColumn id="7" xr3:uid="{C9D998F8-14F5-FD45-8DD7-38CAB538003E}" name="Median age">
      <calculatedColumnFormula>VLOOKUP('master table'!B3,Table6[#All], 2,FALSE)</calculatedColumnFormula>
    </tableColumn>
    <tableColumn id="8" xr3:uid="{54955E5C-705B-9443-80DC-D1C3BB54ECD4}" name="Meat consumption">
      <calculatedColumnFormula>VLOOKUP('master table'!B3,Table7[#All], 2,FALSE)</calculatedColumnFormula>
    </tableColumn>
    <tableColumn id="9" xr3:uid="{B39FEFF2-3E5F-2945-9F12-0C0B7E24C595}" name="Life expectancy">
      <calculatedColumnFormula>VLOOKUP('master table'!B3,Table8[#All], 2,FALSE)</calculatedColumnFormula>
    </tableColumn>
    <tableColumn id="10" xr3:uid="{E14F0D6D-2243-D743-8BDD-68A9EE8C4128}" name="Male Height in Cm">
      <calculatedColumnFormula>VLOOKUP('master table'!B3,Table9[#All], 2,FALSE)</calculatedColumnFormula>
    </tableColumn>
    <tableColumn id="11" xr3:uid="{88ADE27E-1F55-B944-8FC4-0F91AAEC3CF4}" name="Female Height in Cm">
      <calculatedColumnFormula>VLOOKUP('master table'!B3,Table9[#All], 3,FALSE)</calculatedColumnFormula>
    </tableColumn>
    <tableColumn id="12" xr3:uid="{35D0848C-7888-A94D-BBC6-77CFC0E66517}" name="GDP per capita">
      <calculatedColumnFormula>VLOOKUP('master table'!B3,Table10[#All], 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9D83-7EAF-9F44-9F3B-1BB502FA76FD}">
  <dimension ref="B2:AP228"/>
  <sheetViews>
    <sheetView zoomScale="120" zoomScaleNormal="120" workbookViewId="0">
      <selection activeCell="AJ7" sqref="AJ7"/>
    </sheetView>
  </sheetViews>
  <sheetFormatPr baseColWidth="10" defaultRowHeight="16" x14ac:dyDescent="0.2"/>
  <cols>
    <col min="7" max="7" width="17.83203125" customWidth="1"/>
    <col min="11" max="11" width="13.1640625" customWidth="1"/>
    <col min="15" max="15" width="11" customWidth="1"/>
    <col min="19" max="19" width="18.5" customWidth="1"/>
    <col min="23" max="23" width="13.1640625" customWidth="1"/>
    <col min="27" max="27" width="18.83203125" customWidth="1"/>
    <col min="31" max="31" width="16.33203125" customWidth="1"/>
    <col min="34" max="34" width="15.33203125" customWidth="1"/>
    <col min="35" max="35" width="18.83203125" customWidth="1"/>
    <col min="36" max="36" width="20.83203125" customWidth="1"/>
    <col min="37" max="37" width="17.83203125" customWidth="1"/>
    <col min="38" max="38" width="19.83203125" customWidth="1"/>
    <col min="41" max="41" width="15.83203125" customWidth="1"/>
  </cols>
  <sheetData>
    <row r="2" spans="2:42" x14ac:dyDescent="0.2">
      <c r="B2" t="s">
        <v>0</v>
      </c>
      <c r="C2" t="s">
        <v>1</v>
      </c>
      <c r="D2" t="s">
        <v>2</v>
      </c>
      <c r="F2" t="s">
        <v>0</v>
      </c>
      <c r="G2" t="s">
        <v>401</v>
      </c>
      <c r="H2" t="s">
        <v>2</v>
      </c>
      <c r="J2" t="s">
        <v>0</v>
      </c>
      <c r="K2" t="s">
        <v>450</v>
      </c>
      <c r="L2" t="s">
        <v>2</v>
      </c>
      <c r="N2" t="s">
        <v>0</v>
      </c>
      <c r="O2" t="s">
        <v>451</v>
      </c>
      <c r="P2" t="s">
        <v>2</v>
      </c>
      <c r="R2" t="s">
        <v>0</v>
      </c>
      <c r="S2" t="s">
        <v>457</v>
      </c>
      <c r="T2" t="s">
        <v>2</v>
      </c>
      <c r="V2" t="s">
        <v>0</v>
      </c>
      <c r="W2" t="s">
        <v>458</v>
      </c>
      <c r="X2" t="s">
        <v>2</v>
      </c>
      <c r="Z2" t="s">
        <v>0</v>
      </c>
      <c r="AA2" t="s">
        <v>460</v>
      </c>
      <c r="AB2" t="s">
        <v>2</v>
      </c>
      <c r="AD2" t="s">
        <v>0</v>
      </c>
      <c r="AE2" t="s">
        <v>468</v>
      </c>
      <c r="AF2" t="s">
        <v>2</v>
      </c>
      <c r="AH2" t="s">
        <v>0</v>
      </c>
      <c r="AI2" t="s">
        <v>469</v>
      </c>
      <c r="AJ2" t="s">
        <v>470</v>
      </c>
      <c r="AK2" t="s">
        <v>471</v>
      </c>
      <c r="AL2" t="s">
        <v>472</v>
      </c>
      <c r="AN2" t="s">
        <v>0</v>
      </c>
      <c r="AO2" t="s">
        <v>479</v>
      </c>
      <c r="AP2" t="s">
        <v>2</v>
      </c>
    </row>
    <row r="3" spans="2:42" x14ac:dyDescent="0.2">
      <c r="B3" t="s">
        <v>3</v>
      </c>
      <c r="C3">
        <v>4.5</v>
      </c>
      <c r="D3" t="s">
        <v>4</v>
      </c>
      <c r="F3" t="s">
        <v>3</v>
      </c>
      <c r="G3">
        <v>26</v>
      </c>
      <c r="H3" t="s">
        <v>4</v>
      </c>
      <c r="J3" t="s">
        <v>3</v>
      </c>
      <c r="K3">
        <v>6.4</v>
      </c>
      <c r="L3" t="s">
        <v>4</v>
      </c>
      <c r="N3" t="s">
        <v>3</v>
      </c>
      <c r="O3">
        <v>1.03</v>
      </c>
      <c r="P3" t="s">
        <v>4</v>
      </c>
      <c r="R3" t="s">
        <v>3</v>
      </c>
      <c r="S3">
        <v>2.41</v>
      </c>
      <c r="T3" t="s">
        <v>4</v>
      </c>
      <c r="V3" t="s">
        <v>3</v>
      </c>
      <c r="W3">
        <v>27.4</v>
      </c>
      <c r="X3" t="s">
        <v>4</v>
      </c>
      <c r="Z3" t="s">
        <v>3</v>
      </c>
      <c r="AA3">
        <v>17.3</v>
      </c>
      <c r="AB3" t="s">
        <v>4</v>
      </c>
      <c r="AD3" t="s">
        <v>3</v>
      </c>
      <c r="AE3">
        <v>64.5</v>
      </c>
      <c r="AF3" t="s">
        <v>4</v>
      </c>
      <c r="AH3" t="s">
        <v>3</v>
      </c>
      <c r="AI3">
        <v>168.5</v>
      </c>
      <c r="AJ3">
        <v>156.11000000000001</v>
      </c>
      <c r="AK3">
        <v>5.53</v>
      </c>
      <c r="AL3">
        <v>5.12</v>
      </c>
      <c r="AN3" t="s">
        <v>3</v>
      </c>
      <c r="AO3">
        <v>2182</v>
      </c>
      <c r="AP3" t="s">
        <v>4</v>
      </c>
    </row>
    <row r="4" spans="2:42" x14ac:dyDescent="0.2">
      <c r="B4" t="s">
        <v>5</v>
      </c>
      <c r="C4">
        <v>1.6</v>
      </c>
      <c r="D4" t="s">
        <v>6</v>
      </c>
      <c r="F4" t="s">
        <v>5</v>
      </c>
      <c r="G4">
        <v>62.1</v>
      </c>
      <c r="H4" t="s">
        <v>6</v>
      </c>
      <c r="J4" t="s">
        <v>5</v>
      </c>
      <c r="K4">
        <v>5.6</v>
      </c>
      <c r="L4" t="s">
        <v>6</v>
      </c>
      <c r="N4" t="s">
        <v>5</v>
      </c>
      <c r="O4">
        <v>0.98</v>
      </c>
      <c r="P4" t="s">
        <v>6</v>
      </c>
      <c r="R4" t="s">
        <v>5</v>
      </c>
      <c r="S4">
        <v>0.26</v>
      </c>
      <c r="T4" t="s">
        <v>6</v>
      </c>
      <c r="V4" t="s">
        <v>5</v>
      </c>
      <c r="W4">
        <v>32.9</v>
      </c>
      <c r="X4" t="s">
        <v>6</v>
      </c>
      <c r="Z4" t="s">
        <v>7</v>
      </c>
      <c r="AA4">
        <v>18.3</v>
      </c>
      <c r="AB4" t="s">
        <v>8</v>
      </c>
      <c r="AD4" t="s">
        <v>7</v>
      </c>
      <c r="AE4">
        <v>76.7</v>
      </c>
      <c r="AF4" t="s">
        <v>8</v>
      </c>
      <c r="AH4" t="s">
        <v>5</v>
      </c>
      <c r="AI4">
        <v>174.07</v>
      </c>
      <c r="AJ4">
        <v>162.22999999999999</v>
      </c>
      <c r="AK4">
        <v>5.71</v>
      </c>
      <c r="AL4">
        <v>5.32</v>
      </c>
      <c r="AN4" t="s">
        <v>5</v>
      </c>
      <c r="AO4">
        <v>14866</v>
      </c>
      <c r="AP4" t="s">
        <v>6</v>
      </c>
    </row>
    <row r="5" spans="2:42" x14ac:dyDescent="0.2">
      <c r="B5" t="s">
        <v>7</v>
      </c>
      <c r="C5">
        <v>3</v>
      </c>
      <c r="D5" t="s">
        <v>8</v>
      </c>
      <c r="F5" t="s">
        <v>7</v>
      </c>
      <c r="G5">
        <v>73.7</v>
      </c>
      <c r="H5" t="s">
        <v>8</v>
      </c>
      <c r="J5" t="s">
        <v>7</v>
      </c>
      <c r="K5">
        <v>3.3</v>
      </c>
      <c r="L5" t="s">
        <v>8</v>
      </c>
      <c r="N5" t="s">
        <v>7</v>
      </c>
      <c r="O5">
        <v>1.03</v>
      </c>
      <c r="P5" t="s">
        <v>8</v>
      </c>
      <c r="R5" t="s">
        <v>7</v>
      </c>
      <c r="S5">
        <v>1.89</v>
      </c>
      <c r="T5" t="s">
        <v>8</v>
      </c>
      <c r="V5" t="s">
        <v>7</v>
      </c>
      <c r="W5">
        <v>28.1</v>
      </c>
      <c r="X5" t="s">
        <v>8</v>
      </c>
      <c r="Z5" t="s">
        <v>420</v>
      </c>
      <c r="AA5">
        <v>24.9</v>
      </c>
      <c r="AB5" t="s">
        <v>421</v>
      </c>
      <c r="AD5" t="s">
        <v>9</v>
      </c>
      <c r="AE5">
        <v>81.8</v>
      </c>
      <c r="AF5" t="s">
        <v>10</v>
      </c>
      <c r="AH5" t="s">
        <v>7</v>
      </c>
      <c r="AI5">
        <v>175.04</v>
      </c>
      <c r="AJ5">
        <v>162.35</v>
      </c>
      <c r="AK5">
        <v>5.74</v>
      </c>
      <c r="AL5">
        <v>5.33</v>
      </c>
      <c r="AN5" t="s">
        <v>7</v>
      </c>
      <c r="AO5">
        <v>16091</v>
      </c>
      <c r="AP5" t="s">
        <v>8</v>
      </c>
    </row>
    <row r="6" spans="2:42" x14ac:dyDescent="0.2">
      <c r="B6" t="s">
        <v>9</v>
      </c>
      <c r="C6">
        <v>1.3</v>
      </c>
      <c r="D6" t="s">
        <v>10</v>
      </c>
      <c r="F6" t="s">
        <v>420</v>
      </c>
      <c r="G6">
        <v>87.2</v>
      </c>
      <c r="H6" t="s">
        <v>421</v>
      </c>
      <c r="J6" t="s">
        <v>11</v>
      </c>
      <c r="K6">
        <v>8.9</v>
      </c>
      <c r="L6" t="s">
        <v>12</v>
      </c>
      <c r="N6" t="s">
        <v>420</v>
      </c>
      <c r="O6">
        <v>1</v>
      </c>
      <c r="P6" t="s">
        <v>421</v>
      </c>
      <c r="R6" t="s">
        <v>420</v>
      </c>
      <c r="S6">
        <v>-0.26</v>
      </c>
      <c r="T6" t="s">
        <v>421</v>
      </c>
      <c r="V6" t="s">
        <v>420</v>
      </c>
      <c r="W6">
        <v>25.5</v>
      </c>
      <c r="X6" t="s">
        <v>421</v>
      </c>
      <c r="Z6" t="s">
        <v>11</v>
      </c>
      <c r="AA6">
        <v>19</v>
      </c>
      <c r="AB6" t="s">
        <v>12</v>
      </c>
      <c r="AD6" t="s">
        <v>11</v>
      </c>
      <c r="AE6">
        <v>60.8</v>
      </c>
      <c r="AF6" t="s">
        <v>12</v>
      </c>
      <c r="AH6" t="s">
        <v>420</v>
      </c>
      <c r="AI6">
        <v>177.09</v>
      </c>
      <c r="AJ6">
        <v>167.55</v>
      </c>
      <c r="AK6">
        <v>5.81</v>
      </c>
      <c r="AL6">
        <v>5.5</v>
      </c>
      <c r="AN6" t="s">
        <v>11</v>
      </c>
      <c r="AO6">
        <v>6763</v>
      </c>
      <c r="AP6" t="s">
        <v>12</v>
      </c>
    </row>
    <row r="7" spans="2:42" x14ac:dyDescent="0.2">
      <c r="B7" t="s">
        <v>11</v>
      </c>
      <c r="C7">
        <v>5.5</v>
      </c>
      <c r="D7" t="s">
        <v>12</v>
      </c>
      <c r="F7" t="s">
        <v>9</v>
      </c>
      <c r="G7">
        <v>87.9</v>
      </c>
      <c r="H7" t="s">
        <v>10</v>
      </c>
      <c r="J7" t="s">
        <v>13</v>
      </c>
      <c r="K7">
        <v>0.5</v>
      </c>
      <c r="L7" t="s">
        <v>14</v>
      </c>
      <c r="N7" t="s">
        <v>9</v>
      </c>
      <c r="O7">
        <v>1.06</v>
      </c>
      <c r="P7" t="s">
        <v>10</v>
      </c>
      <c r="R7" t="s">
        <v>9</v>
      </c>
      <c r="S7">
        <v>0.63</v>
      </c>
      <c r="T7" t="s">
        <v>10</v>
      </c>
      <c r="V7" t="s">
        <v>9</v>
      </c>
      <c r="W7">
        <v>44.3</v>
      </c>
      <c r="X7" t="s">
        <v>10</v>
      </c>
      <c r="Z7" t="s">
        <v>13</v>
      </c>
      <c r="AA7">
        <v>56</v>
      </c>
      <c r="AB7" t="s">
        <v>14</v>
      </c>
      <c r="AD7" t="s">
        <v>13</v>
      </c>
      <c r="AE7">
        <v>76.900000000000006</v>
      </c>
      <c r="AF7" t="s">
        <v>14</v>
      </c>
      <c r="AH7" t="s">
        <v>9</v>
      </c>
      <c r="AI7">
        <v>178.84</v>
      </c>
      <c r="AJ7">
        <v>165.53</v>
      </c>
      <c r="AK7">
        <v>5.87</v>
      </c>
      <c r="AL7">
        <v>5.43</v>
      </c>
      <c r="AN7" t="s">
        <v>13</v>
      </c>
      <c r="AO7">
        <v>30593</v>
      </c>
      <c r="AP7" t="s">
        <v>14</v>
      </c>
    </row>
    <row r="8" spans="2:42" x14ac:dyDescent="0.2">
      <c r="B8" t="s">
        <v>13</v>
      </c>
      <c r="C8">
        <v>2</v>
      </c>
      <c r="D8" t="s">
        <v>14</v>
      </c>
      <c r="F8" t="s">
        <v>11</v>
      </c>
      <c r="G8">
        <v>66.8</v>
      </c>
      <c r="H8" t="s">
        <v>12</v>
      </c>
      <c r="J8" t="s">
        <v>15</v>
      </c>
      <c r="K8">
        <v>9.1</v>
      </c>
      <c r="L8" t="s">
        <v>16</v>
      </c>
      <c r="N8" t="s">
        <v>11</v>
      </c>
      <c r="O8">
        <v>0.95</v>
      </c>
      <c r="P8" t="s">
        <v>12</v>
      </c>
      <c r="R8" t="s">
        <v>11</v>
      </c>
      <c r="S8">
        <v>3.12</v>
      </c>
      <c r="T8" t="s">
        <v>12</v>
      </c>
      <c r="V8" t="s">
        <v>11</v>
      </c>
      <c r="W8">
        <v>15.9</v>
      </c>
      <c r="X8" t="s">
        <v>12</v>
      </c>
      <c r="Z8" t="s">
        <v>15</v>
      </c>
      <c r="AA8">
        <v>79.7</v>
      </c>
      <c r="AB8" t="s">
        <v>16</v>
      </c>
      <c r="AD8" t="s">
        <v>15</v>
      </c>
      <c r="AE8">
        <v>76.5</v>
      </c>
      <c r="AF8" t="s">
        <v>16</v>
      </c>
      <c r="AH8" t="s">
        <v>11</v>
      </c>
      <c r="AI8">
        <v>168.46</v>
      </c>
      <c r="AJ8">
        <v>158.1</v>
      </c>
      <c r="AK8">
        <v>5.53</v>
      </c>
      <c r="AL8">
        <v>5.19</v>
      </c>
      <c r="AN8" t="s">
        <v>15</v>
      </c>
      <c r="AO8">
        <v>19971</v>
      </c>
      <c r="AP8" t="s">
        <v>16</v>
      </c>
    </row>
    <row r="9" spans="2:42" x14ac:dyDescent="0.2">
      <c r="B9" t="s">
        <v>15</v>
      </c>
      <c r="C9">
        <v>2.2999999999999998</v>
      </c>
      <c r="D9" t="s">
        <v>16</v>
      </c>
      <c r="F9" t="s">
        <v>406</v>
      </c>
      <c r="G9">
        <v>100</v>
      </c>
      <c r="H9" t="s">
        <v>407</v>
      </c>
      <c r="J9" t="s">
        <v>17</v>
      </c>
      <c r="K9">
        <v>5.7</v>
      </c>
      <c r="L9" t="s">
        <v>18</v>
      </c>
      <c r="N9" t="s">
        <v>406</v>
      </c>
      <c r="O9">
        <v>0.9</v>
      </c>
      <c r="P9" t="s">
        <v>407</v>
      </c>
      <c r="R9" t="s">
        <v>13</v>
      </c>
      <c r="S9">
        <v>1.03</v>
      </c>
      <c r="T9" t="s">
        <v>14</v>
      </c>
      <c r="V9" t="s">
        <v>406</v>
      </c>
      <c r="W9">
        <v>34.799999999999997</v>
      </c>
      <c r="X9" t="s">
        <v>407</v>
      </c>
      <c r="Z9" t="s">
        <v>17</v>
      </c>
      <c r="AA9">
        <v>27.7</v>
      </c>
      <c r="AB9" t="s">
        <v>18</v>
      </c>
      <c r="AD9" t="s">
        <v>17</v>
      </c>
      <c r="AE9">
        <v>74.900000000000006</v>
      </c>
      <c r="AF9" t="s">
        <v>18</v>
      </c>
      <c r="AH9" t="s">
        <v>13</v>
      </c>
      <c r="AI9">
        <v>178.84</v>
      </c>
      <c r="AJ9">
        <v>165.72</v>
      </c>
      <c r="AK9">
        <v>5.87</v>
      </c>
      <c r="AL9">
        <v>5.44</v>
      </c>
      <c r="AN9" t="s">
        <v>17</v>
      </c>
      <c r="AO9">
        <v>11845</v>
      </c>
      <c r="AP9" t="s">
        <v>18</v>
      </c>
    </row>
    <row r="10" spans="2:42" x14ac:dyDescent="0.2">
      <c r="B10" t="s">
        <v>17</v>
      </c>
      <c r="C10">
        <v>1.8</v>
      </c>
      <c r="D10" t="s">
        <v>18</v>
      </c>
      <c r="F10" t="s">
        <v>13</v>
      </c>
      <c r="G10">
        <v>24.4</v>
      </c>
      <c r="H10" t="s">
        <v>14</v>
      </c>
      <c r="J10" t="s">
        <v>21</v>
      </c>
      <c r="K10">
        <v>11.7</v>
      </c>
      <c r="L10" t="s">
        <v>22</v>
      </c>
      <c r="N10" t="s">
        <v>13</v>
      </c>
      <c r="O10">
        <v>0.89</v>
      </c>
      <c r="P10" t="s">
        <v>14</v>
      </c>
      <c r="R10" t="s">
        <v>15</v>
      </c>
      <c r="S10">
        <v>0.88</v>
      </c>
      <c r="T10" t="s">
        <v>16</v>
      </c>
      <c r="V10" t="s">
        <v>13</v>
      </c>
      <c r="W10">
        <v>31.9</v>
      </c>
      <c r="X10" t="s">
        <v>14</v>
      </c>
      <c r="Z10" t="s">
        <v>21</v>
      </c>
      <c r="AA10">
        <v>108.2</v>
      </c>
      <c r="AB10" t="s">
        <v>22</v>
      </c>
      <c r="AD10" t="s">
        <v>21</v>
      </c>
      <c r="AE10">
        <v>83.3</v>
      </c>
      <c r="AF10" t="s">
        <v>22</v>
      </c>
      <c r="AH10" t="s">
        <v>15</v>
      </c>
      <c r="AI10">
        <v>174.76</v>
      </c>
      <c r="AJ10">
        <v>161.22</v>
      </c>
      <c r="AK10">
        <v>5.73</v>
      </c>
      <c r="AL10">
        <v>5.29</v>
      </c>
      <c r="AN10" t="s">
        <v>21</v>
      </c>
      <c r="AO10">
        <v>54799</v>
      </c>
      <c r="AP10" t="s">
        <v>22</v>
      </c>
    </row>
    <row r="11" spans="2:42" x14ac:dyDescent="0.2">
      <c r="B11" t="s">
        <v>19</v>
      </c>
      <c r="C11">
        <v>1.9</v>
      </c>
      <c r="D11" t="s">
        <v>20</v>
      </c>
      <c r="F11" t="s">
        <v>15</v>
      </c>
      <c r="G11">
        <v>92.1</v>
      </c>
      <c r="H11" t="s">
        <v>16</v>
      </c>
      <c r="J11" t="s">
        <v>23</v>
      </c>
      <c r="K11">
        <v>11.4</v>
      </c>
      <c r="L11" t="s">
        <v>24</v>
      </c>
      <c r="N11" t="s">
        <v>15</v>
      </c>
      <c r="O11">
        <v>0.98</v>
      </c>
      <c r="P11" t="s">
        <v>16</v>
      </c>
      <c r="R11" t="s">
        <v>17</v>
      </c>
      <c r="S11">
        <v>0.17</v>
      </c>
      <c r="T11" t="s">
        <v>18</v>
      </c>
      <c r="V11" t="s">
        <v>15</v>
      </c>
      <c r="W11">
        <v>31.7</v>
      </c>
      <c r="X11" t="s">
        <v>16</v>
      </c>
      <c r="Z11" t="s">
        <v>23</v>
      </c>
      <c r="AA11">
        <v>94.1</v>
      </c>
      <c r="AB11" t="s">
        <v>24</v>
      </c>
      <c r="AD11" t="s">
        <v>23</v>
      </c>
      <c r="AE11">
        <v>81.400000000000006</v>
      </c>
      <c r="AF11" t="s">
        <v>24</v>
      </c>
      <c r="AH11" t="s">
        <v>17</v>
      </c>
      <c r="AI11">
        <v>173.67</v>
      </c>
      <c r="AJ11">
        <v>159.85</v>
      </c>
      <c r="AK11">
        <v>5.7</v>
      </c>
      <c r="AL11">
        <v>5.24</v>
      </c>
      <c r="AN11" t="s">
        <v>23</v>
      </c>
      <c r="AO11">
        <v>55171</v>
      </c>
      <c r="AP11" t="s">
        <v>24</v>
      </c>
    </row>
    <row r="12" spans="2:42" x14ac:dyDescent="0.2">
      <c r="B12" t="s">
        <v>21</v>
      </c>
      <c r="C12">
        <v>1.7</v>
      </c>
      <c r="D12" t="s">
        <v>22</v>
      </c>
      <c r="F12" t="s">
        <v>17</v>
      </c>
      <c r="G12">
        <v>63.3</v>
      </c>
      <c r="H12" t="s">
        <v>18</v>
      </c>
      <c r="J12" t="s">
        <v>25</v>
      </c>
      <c r="K12">
        <v>2.6</v>
      </c>
      <c r="L12" t="s">
        <v>26</v>
      </c>
      <c r="N12" t="s">
        <v>17</v>
      </c>
      <c r="O12">
        <v>0.95</v>
      </c>
      <c r="P12" t="s">
        <v>18</v>
      </c>
      <c r="R12" t="s">
        <v>19</v>
      </c>
      <c r="S12">
        <v>0.44</v>
      </c>
      <c r="T12" t="s">
        <v>20</v>
      </c>
      <c r="V12" t="s">
        <v>17</v>
      </c>
      <c r="W12">
        <v>35.1</v>
      </c>
      <c r="X12" t="s">
        <v>18</v>
      </c>
      <c r="Z12" t="s">
        <v>25</v>
      </c>
      <c r="AA12">
        <v>15.9</v>
      </c>
      <c r="AB12" t="s">
        <v>26</v>
      </c>
      <c r="AD12" t="s">
        <v>25</v>
      </c>
      <c r="AE12">
        <v>72.900000000000006</v>
      </c>
      <c r="AF12" t="s">
        <v>26</v>
      </c>
      <c r="AH12" t="s">
        <v>21</v>
      </c>
      <c r="AI12">
        <v>178.77</v>
      </c>
      <c r="AJ12">
        <v>164.67</v>
      </c>
      <c r="AK12">
        <v>5.87</v>
      </c>
      <c r="AL12">
        <v>5.4</v>
      </c>
      <c r="AN12" t="s">
        <v>25</v>
      </c>
      <c r="AO12">
        <v>19156</v>
      </c>
      <c r="AP12" t="s">
        <v>26</v>
      </c>
    </row>
    <row r="13" spans="2:42" x14ac:dyDescent="0.2">
      <c r="B13" t="s">
        <v>23</v>
      </c>
      <c r="C13">
        <v>1.5</v>
      </c>
      <c r="D13" t="s">
        <v>24</v>
      </c>
      <c r="F13" t="s">
        <v>19</v>
      </c>
      <c r="G13">
        <v>43.7</v>
      </c>
      <c r="H13" t="s">
        <v>20</v>
      </c>
      <c r="J13" t="s">
        <v>27</v>
      </c>
      <c r="K13">
        <v>5.7</v>
      </c>
      <c r="L13" t="s">
        <v>28</v>
      </c>
      <c r="N13" t="s">
        <v>19</v>
      </c>
      <c r="O13">
        <v>0.9</v>
      </c>
      <c r="P13" t="s">
        <v>20</v>
      </c>
      <c r="R13" t="s">
        <v>21</v>
      </c>
      <c r="S13">
        <v>1.6</v>
      </c>
      <c r="T13" t="s">
        <v>22</v>
      </c>
      <c r="V13" t="s">
        <v>19</v>
      </c>
      <c r="W13">
        <v>39.299999999999997</v>
      </c>
      <c r="X13" t="s">
        <v>20</v>
      </c>
      <c r="Z13" t="s">
        <v>27</v>
      </c>
      <c r="AA13">
        <v>70.7</v>
      </c>
      <c r="AB13" t="s">
        <v>28</v>
      </c>
      <c r="AD13" t="s">
        <v>27</v>
      </c>
      <c r="AE13">
        <v>77.2</v>
      </c>
      <c r="AF13" t="s">
        <v>28</v>
      </c>
      <c r="AH13" t="s">
        <v>23</v>
      </c>
      <c r="AI13">
        <v>178.52</v>
      </c>
      <c r="AJ13">
        <v>166.93</v>
      </c>
      <c r="AK13">
        <v>5.86</v>
      </c>
      <c r="AL13">
        <v>5.48</v>
      </c>
      <c r="AN13" t="s">
        <v>27</v>
      </c>
      <c r="AO13">
        <v>51991</v>
      </c>
      <c r="AP13" t="s">
        <v>28</v>
      </c>
    </row>
    <row r="14" spans="2:42" x14ac:dyDescent="0.2">
      <c r="B14" t="s">
        <v>25</v>
      </c>
      <c r="C14">
        <v>1.7</v>
      </c>
      <c r="D14" t="s">
        <v>26</v>
      </c>
      <c r="F14" t="s">
        <v>21</v>
      </c>
      <c r="G14">
        <v>86.2</v>
      </c>
      <c r="H14" t="s">
        <v>22</v>
      </c>
      <c r="J14" t="s">
        <v>29</v>
      </c>
      <c r="K14">
        <v>6.1</v>
      </c>
      <c r="L14" t="s">
        <v>30</v>
      </c>
      <c r="N14" t="s">
        <v>21</v>
      </c>
      <c r="O14">
        <v>0.99</v>
      </c>
      <c r="P14" t="s">
        <v>22</v>
      </c>
      <c r="R14" t="s">
        <v>23</v>
      </c>
      <c r="S14">
        <v>0.46</v>
      </c>
      <c r="T14" t="s">
        <v>24</v>
      </c>
      <c r="V14" t="s">
        <v>21</v>
      </c>
      <c r="W14">
        <v>38.700000000000003</v>
      </c>
      <c r="X14" t="s">
        <v>22</v>
      </c>
      <c r="Z14" t="s">
        <v>29</v>
      </c>
      <c r="AA14">
        <v>3.1</v>
      </c>
      <c r="AB14" t="s">
        <v>30</v>
      </c>
      <c r="AD14" t="s">
        <v>29</v>
      </c>
      <c r="AE14">
        <v>72.3</v>
      </c>
      <c r="AF14" t="s">
        <v>30</v>
      </c>
      <c r="AH14" t="s">
        <v>25</v>
      </c>
      <c r="AI14">
        <v>174</v>
      </c>
      <c r="AJ14">
        <v>161.37</v>
      </c>
      <c r="AK14">
        <v>5.71</v>
      </c>
      <c r="AL14">
        <v>5.29</v>
      </c>
      <c r="AN14" t="s">
        <v>29</v>
      </c>
      <c r="AO14">
        <v>5453</v>
      </c>
      <c r="AP14" t="s">
        <v>30</v>
      </c>
    </row>
    <row r="15" spans="2:42" x14ac:dyDescent="0.2">
      <c r="B15" t="s">
        <v>27</v>
      </c>
      <c r="C15">
        <v>2</v>
      </c>
      <c r="D15" t="s">
        <v>28</v>
      </c>
      <c r="F15" t="s">
        <v>23</v>
      </c>
      <c r="G15">
        <v>58.7</v>
      </c>
      <c r="H15" t="s">
        <v>24</v>
      </c>
      <c r="J15" t="s">
        <v>31</v>
      </c>
      <c r="K15">
        <v>0.4</v>
      </c>
      <c r="L15" t="s">
        <v>32</v>
      </c>
      <c r="N15" t="s">
        <v>23</v>
      </c>
      <c r="O15">
        <v>0.96</v>
      </c>
      <c r="P15" t="s">
        <v>24</v>
      </c>
      <c r="R15" t="s">
        <v>25</v>
      </c>
      <c r="S15">
        <v>1.35</v>
      </c>
      <c r="T15" t="s">
        <v>26</v>
      </c>
      <c r="V15" t="s">
        <v>23</v>
      </c>
      <c r="W15">
        <v>44</v>
      </c>
      <c r="X15" t="s">
        <v>24</v>
      </c>
      <c r="Z15" t="s">
        <v>31</v>
      </c>
      <c r="AA15">
        <v>88.7</v>
      </c>
      <c r="AB15" t="s">
        <v>32</v>
      </c>
      <c r="AD15" t="s">
        <v>31</v>
      </c>
      <c r="AE15">
        <v>79.099999999999994</v>
      </c>
      <c r="AF15" t="s">
        <v>32</v>
      </c>
      <c r="AH15" t="s">
        <v>474</v>
      </c>
      <c r="AI15">
        <v>174.4</v>
      </c>
      <c r="AJ15">
        <v>163.46</v>
      </c>
      <c r="AK15">
        <v>5.72</v>
      </c>
      <c r="AL15">
        <v>5.36</v>
      </c>
      <c r="AN15" t="s">
        <v>31</v>
      </c>
      <c r="AO15">
        <v>19364</v>
      </c>
      <c r="AP15" t="s">
        <v>32</v>
      </c>
    </row>
    <row r="16" spans="2:42" x14ac:dyDescent="0.2">
      <c r="B16" t="s">
        <v>29</v>
      </c>
      <c r="C16">
        <v>2</v>
      </c>
      <c r="D16" t="s">
        <v>30</v>
      </c>
      <c r="F16" t="s">
        <v>25</v>
      </c>
      <c r="G16">
        <v>56.4</v>
      </c>
      <c r="H16" t="s">
        <v>26</v>
      </c>
      <c r="J16" t="s">
        <v>33</v>
      </c>
      <c r="K16">
        <v>21.4</v>
      </c>
      <c r="L16" t="s">
        <v>34</v>
      </c>
      <c r="N16" t="s">
        <v>25</v>
      </c>
      <c r="O16">
        <v>0.98</v>
      </c>
      <c r="P16" t="s">
        <v>26</v>
      </c>
      <c r="R16" t="s">
        <v>27</v>
      </c>
      <c r="S16">
        <v>1.92</v>
      </c>
      <c r="T16" t="s">
        <v>28</v>
      </c>
      <c r="V16" t="s">
        <v>25</v>
      </c>
      <c r="W16">
        <v>32.299999999999997</v>
      </c>
      <c r="X16" t="s">
        <v>26</v>
      </c>
      <c r="Z16" t="s">
        <v>33</v>
      </c>
      <c r="AA16">
        <v>58.6</v>
      </c>
      <c r="AB16" t="s">
        <v>34</v>
      </c>
      <c r="AD16" t="s">
        <v>33</v>
      </c>
      <c r="AE16">
        <v>74.599999999999994</v>
      </c>
      <c r="AF16" t="s">
        <v>34</v>
      </c>
      <c r="AH16" t="s">
        <v>27</v>
      </c>
      <c r="AI16">
        <v>172.76</v>
      </c>
      <c r="AJ16">
        <v>158.29</v>
      </c>
      <c r="AK16">
        <v>5.67</v>
      </c>
      <c r="AL16">
        <v>5.19</v>
      </c>
      <c r="AN16" t="s">
        <v>33</v>
      </c>
      <c r="AO16">
        <v>21224</v>
      </c>
      <c r="AP16" t="s">
        <v>34</v>
      </c>
    </row>
    <row r="17" spans="2:42" x14ac:dyDescent="0.2">
      <c r="B17" t="s">
        <v>31</v>
      </c>
      <c r="C17">
        <v>1.6</v>
      </c>
      <c r="D17" t="s">
        <v>32</v>
      </c>
      <c r="F17" t="s">
        <v>27</v>
      </c>
      <c r="G17">
        <v>89.5</v>
      </c>
      <c r="H17" t="s">
        <v>28</v>
      </c>
      <c r="J17" t="s">
        <v>35</v>
      </c>
      <c r="K17">
        <v>15.7</v>
      </c>
      <c r="L17" t="s">
        <v>36</v>
      </c>
      <c r="N17" t="s">
        <v>357</v>
      </c>
      <c r="O17">
        <v>0.96</v>
      </c>
      <c r="P17" t="s">
        <v>358</v>
      </c>
      <c r="R17" t="s">
        <v>29</v>
      </c>
      <c r="S17">
        <v>1.19</v>
      </c>
      <c r="T17" t="s">
        <v>30</v>
      </c>
      <c r="V17" t="s">
        <v>357</v>
      </c>
      <c r="W17">
        <v>32</v>
      </c>
      <c r="X17" t="s">
        <v>358</v>
      </c>
      <c r="Z17" t="s">
        <v>35</v>
      </c>
      <c r="AA17">
        <v>86.1</v>
      </c>
      <c r="AB17" t="s">
        <v>36</v>
      </c>
      <c r="AD17" t="s">
        <v>35</v>
      </c>
      <c r="AE17">
        <v>81.5</v>
      </c>
      <c r="AF17" t="s">
        <v>36</v>
      </c>
      <c r="AH17" t="s">
        <v>29</v>
      </c>
      <c r="AI17">
        <v>165.08</v>
      </c>
      <c r="AJ17">
        <v>152.38</v>
      </c>
      <c r="AK17">
        <v>5.42</v>
      </c>
      <c r="AL17">
        <v>5</v>
      </c>
      <c r="AN17" t="s">
        <v>35</v>
      </c>
      <c r="AO17">
        <v>50904</v>
      </c>
      <c r="AP17" t="s">
        <v>36</v>
      </c>
    </row>
    <row r="18" spans="2:42" x14ac:dyDescent="0.2">
      <c r="B18" t="s">
        <v>33</v>
      </c>
      <c r="C18">
        <v>1.4</v>
      </c>
      <c r="D18" t="s">
        <v>34</v>
      </c>
      <c r="F18" t="s">
        <v>29</v>
      </c>
      <c r="G18">
        <v>38.200000000000003</v>
      </c>
      <c r="H18" t="s">
        <v>30</v>
      </c>
      <c r="J18" t="s">
        <v>37</v>
      </c>
      <c r="K18">
        <v>5.9</v>
      </c>
      <c r="L18" t="s">
        <v>38</v>
      </c>
      <c r="N18" t="s">
        <v>27</v>
      </c>
      <c r="O18">
        <v>1.53</v>
      </c>
      <c r="P18" t="s">
        <v>28</v>
      </c>
      <c r="R18" t="s">
        <v>31</v>
      </c>
      <c r="S18">
        <v>0.5</v>
      </c>
      <c r="T18" t="s">
        <v>32</v>
      </c>
      <c r="V18" t="s">
        <v>27</v>
      </c>
      <c r="W18">
        <v>32.299999999999997</v>
      </c>
      <c r="X18" t="s">
        <v>28</v>
      </c>
      <c r="Z18" t="s">
        <v>37</v>
      </c>
      <c r="AA18">
        <v>74.7</v>
      </c>
      <c r="AB18" t="s">
        <v>38</v>
      </c>
      <c r="AD18" t="s">
        <v>37</v>
      </c>
      <c r="AE18">
        <v>74.5</v>
      </c>
      <c r="AF18" t="s">
        <v>38</v>
      </c>
      <c r="AH18" t="s">
        <v>31</v>
      </c>
      <c r="AI18">
        <v>177.03</v>
      </c>
      <c r="AJ18">
        <v>165.66</v>
      </c>
      <c r="AK18">
        <v>5.81</v>
      </c>
      <c r="AL18">
        <v>5.44</v>
      </c>
      <c r="AN18" t="s">
        <v>37</v>
      </c>
      <c r="AO18">
        <v>8791</v>
      </c>
      <c r="AP18" t="s">
        <v>38</v>
      </c>
    </row>
    <row r="19" spans="2:42" x14ac:dyDescent="0.2">
      <c r="B19" t="s">
        <v>35</v>
      </c>
      <c r="C19">
        <v>1.6</v>
      </c>
      <c r="D19" t="s">
        <v>36</v>
      </c>
      <c r="F19" t="s">
        <v>31</v>
      </c>
      <c r="G19">
        <v>31.2</v>
      </c>
      <c r="H19" t="s">
        <v>32</v>
      </c>
      <c r="J19" t="s">
        <v>39</v>
      </c>
      <c r="K19">
        <v>15.7</v>
      </c>
      <c r="L19" t="s">
        <v>40</v>
      </c>
      <c r="N19" t="s">
        <v>29</v>
      </c>
      <c r="O19">
        <v>0.97</v>
      </c>
      <c r="P19" t="s">
        <v>30</v>
      </c>
      <c r="R19" t="s">
        <v>33</v>
      </c>
      <c r="S19">
        <v>-0.1</v>
      </c>
      <c r="T19" t="s">
        <v>34</v>
      </c>
      <c r="V19" t="s">
        <v>29</v>
      </c>
      <c r="W19">
        <v>26.7</v>
      </c>
      <c r="X19" t="s">
        <v>30</v>
      </c>
      <c r="Z19" t="s">
        <v>39</v>
      </c>
      <c r="AA19">
        <v>16.2</v>
      </c>
      <c r="AB19" t="s">
        <v>40</v>
      </c>
      <c r="AD19" t="s">
        <v>39</v>
      </c>
      <c r="AE19">
        <v>61.5</v>
      </c>
      <c r="AF19" t="s">
        <v>40</v>
      </c>
      <c r="AH19" t="s">
        <v>33</v>
      </c>
      <c r="AI19">
        <v>178.69</v>
      </c>
      <c r="AJ19">
        <v>166.93</v>
      </c>
      <c r="AK19">
        <v>5.86</v>
      </c>
      <c r="AL19">
        <v>5.48</v>
      </c>
      <c r="AN19" t="s">
        <v>39</v>
      </c>
      <c r="AO19">
        <v>3648</v>
      </c>
      <c r="AP19" t="s">
        <v>40</v>
      </c>
    </row>
    <row r="20" spans="2:42" x14ac:dyDescent="0.2">
      <c r="B20" t="s">
        <v>37</v>
      </c>
      <c r="C20">
        <v>2.2999999999999998</v>
      </c>
      <c r="D20" t="s">
        <v>38</v>
      </c>
      <c r="F20" t="s">
        <v>33</v>
      </c>
      <c r="G20">
        <v>79.5</v>
      </c>
      <c r="H20" t="s">
        <v>34</v>
      </c>
      <c r="J20" t="s">
        <v>43</v>
      </c>
      <c r="K20">
        <v>11.6</v>
      </c>
      <c r="L20" t="s">
        <v>44</v>
      </c>
      <c r="N20" t="s">
        <v>31</v>
      </c>
      <c r="O20">
        <v>0.94</v>
      </c>
      <c r="P20" t="s">
        <v>32</v>
      </c>
      <c r="R20" t="s">
        <v>35</v>
      </c>
      <c r="S20">
        <v>0.85</v>
      </c>
      <c r="T20" t="s">
        <v>36</v>
      </c>
      <c r="V20" t="s">
        <v>31</v>
      </c>
      <c r="W20">
        <v>38.6</v>
      </c>
      <c r="X20" t="s">
        <v>32</v>
      </c>
      <c r="Z20" t="s">
        <v>43</v>
      </c>
      <c r="AA20">
        <v>3</v>
      </c>
      <c r="AB20" t="s">
        <v>44</v>
      </c>
      <c r="AD20" t="s">
        <v>43</v>
      </c>
      <c r="AE20">
        <v>71.5</v>
      </c>
      <c r="AF20" t="s">
        <v>44</v>
      </c>
      <c r="AH20" t="s">
        <v>35</v>
      </c>
      <c r="AI20">
        <v>179.09</v>
      </c>
      <c r="AJ20">
        <v>163.4</v>
      </c>
      <c r="AK20">
        <v>5.88</v>
      </c>
      <c r="AL20">
        <v>5.36</v>
      </c>
      <c r="AN20" t="s">
        <v>43</v>
      </c>
      <c r="AO20">
        <v>10627</v>
      </c>
      <c r="AP20" t="s">
        <v>44</v>
      </c>
    </row>
    <row r="21" spans="2:42" x14ac:dyDescent="0.2">
      <c r="B21" t="s">
        <v>39</v>
      </c>
      <c r="C21">
        <v>4.8</v>
      </c>
      <c r="D21" t="s">
        <v>40</v>
      </c>
      <c r="F21" t="s">
        <v>35</v>
      </c>
      <c r="G21">
        <v>98.1</v>
      </c>
      <c r="H21" t="s">
        <v>36</v>
      </c>
      <c r="J21" t="s">
        <v>45</v>
      </c>
      <c r="K21">
        <v>12.9</v>
      </c>
      <c r="L21" t="s">
        <v>46</v>
      </c>
      <c r="N21" t="s">
        <v>33</v>
      </c>
      <c r="O21">
        <v>0.87</v>
      </c>
      <c r="P21" t="s">
        <v>34</v>
      </c>
      <c r="R21" t="s">
        <v>37</v>
      </c>
      <c r="S21">
        <v>2.4300000000000002</v>
      </c>
      <c r="T21" t="s">
        <v>38</v>
      </c>
      <c r="V21" t="s">
        <v>33</v>
      </c>
      <c r="W21">
        <v>40</v>
      </c>
      <c r="X21" t="s">
        <v>34</v>
      </c>
      <c r="Z21" t="s">
        <v>45</v>
      </c>
      <c r="AA21">
        <v>50</v>
      </c>
      <c r="AB21" t="s">
        <v>46</v>
      </c>
      <c r="AD21" t="s">
        <v>45</v>
      </c>
      <c r="AE21">
        <v>71.2</v>
      </c>
      <c r="AF21" t="s">
        <v>46</v>
      </c>
      <c r="AH21" t="s">
        <v>37</v>
      </c>
      <c r="AI21">
        <v>170.52</v>
      </c>
      <c r="AJ21">
        <v>158.12</v>
      </c>
      <c r="AK21">
        <v>5.59</v>
      </c>
      <c r="AL21">
        <v>5.19</v>
      </c>
      <c r="AN21" t="s">
        <v>45</v>
      </c>
      <c r="AO21">
        <v>8525</v>
      </c>
      <c r="AP21" t="s">
        <v>46</v>
      </c>
    </row>
    <row r="22" spans="2:42" x14ac:dyDescent="0.2">
      <c r="B22" t="s">
        <v>41</v>
      </c>
      <c r="C22">
        <v>1.6</v>
      </c>
      <c r="D22" t="s">
        <v>42</v>
      </c>
      <c r="F22" t="s">
        <v>37</v>
      </c>
      <c r="G22">
        <v>46</v>
      </c>
      <c r="H22" t="s">
        <v>38</v>
      </c>
      <c r="J22" t="s">
        <v>47</v>
      </c>
      <c r="K22">
        <v>6.4</v>
      </c>
      <c r="L22" t="s">
        <v>48</v>
      </c>
      <c r="N22" t="s">
        <v>35</v>
      </c>
      <c r="O22">
        <v>0.97</v>
      </c>
      <c r="P22" t="s">
        <v>36</v>
      </c>
      <c r="R22" t="s">
        <v>39</v>
      </c>
      <c r="S22">
        <v>2.73</v>
      </c>
      <c r="T22" t="s">
        <v>40</v>
      </c>
      <c r="V22" t="s">
        <v>35</v>
      </c>
      <c r="W22">
        <v>41.4</v>
      </c>
      <c r="X22" t="s">
        <v>36</v>
      </c>
      <c r="Z22" t="s">
        <v>47</v>
      </c>
      <c r="AA22">
        <v>21.4</v>
      </c>
      <c r="AB22" t="s">
        <v>48</v>
      </c>
      <c r="AD22" t="s">
        <v>47</v>
      </c>
      <c r="AE22">
        <v>77.3</v>
      </c>
      <c r="AF22" t="s">
        <v>48</v>
      </c>
      <c r="AH22" t="s">
        <v>39</v>
      </c>
      <c r="AI22">
        <v>168.44</v>
      </c>
      <c r="AJ22">
        <v>158.4</v>
      </c>
      <c r="AK22">
        <v>5.53</v>
      </c>
      <c r="AL22">
        <v>5.2</v>
      </c>
      <c r="AN22" t="s">
        <v>47</v>
      </c>
      <c r="AO22">
        <v>14894</v>
      </c>
      <c r="AP22" t="s">
        <v>48</v>
      </c>
    </row>
    <row r="23" spans="2:42" x14ac:dyDescent="0.2">
      <c r="B23" t="s">
        <v>43</v>
      </c>
      <c r="C23">
        <v>2</v>
      </c>
      <c r="D23" t="s">
        <v>44</v>
      </c>
      <c r="F23" t="s">
        <v>39</v>
      </c>
      <c r="G23">
        <v>48.4</v>
      </c>
      <c r="H23" t="s">
        <v>40</v>
      </c>
      <c r="J23" t="s">
        <v>49</v>
      </c>
      <c r="K23">
        <v>11.5</v>
      </c>
      <c r="L23" t="s">
        <v>50</v>
      </c>
      <c r="N23" t="s">
        <v>37</v>
      </c>
      <c r="O23">
        <v>1</v>
      </c>
      <c r="P23" t="s">
        <v>38</v>
      </c>
      <c r="R23" t="s">
        <v>41</v>
      </c>
      <c r="S23">
        <v>0.37</v>
      </c>
      <c r="T23" t="s">
        <v>42</v>
      </c>
      <c r="V23" t="s">
        <v>37</v>
      </c>
      <c r="W23">
        <v>22.7</v>
      </c>
      <c r="X23" t="s">
        <v>38</v>
      </c>
      <c r="Z23" t="s">
        <v>49</v>
      </c>
      <c r="AA23">
        <v>27.3</v>
      </c>
      <c r="AB23" t="s">
        <v>50</v>
      </c>
      <c r="AD23" t="s">
        <v>49</v>
      </c>
      <c r="AE23">
        <v>69.3</v>
      </c>
      <c r="AF23" t="s">
        <v>50</v>
      </c>
      <c r="AH23" t="s">
        <v>41</v>
      </c>
      <c r="AI23">
        <v>179.72</v>
      </c>
      <c r="AJ23">
        <v>166.11</v>
      </c>
      <c r="AK23">
        <v>5.9</v>
      </c>
      <c r="AL23">
        <v>5.45</v>
      </c>
      <c r="AN23" t="s">
        <v>49</v>
      </c>
      <c r="AO23">
        <v>19388</v>
      </c>
      <c r="AP23" t="s">
        <v>50</v>
      </c>
    </row>
    <row r="24" spans="2:42" x14ac:dyDescent="0.2">
      <c r="B24" t="s">
        <v>45</v>
      </c>
      <c r="C24">
        <v>2.7</v>
      </c>
      <c r="D24" t="s">
        <v>46</v>
      </c>
      <c r="F24" t="s">
        <v>41</v>
      </c>
      <c r="G24">
        <v>100</v>
      </c>
      <c r="H24" t="s">
        <v>42</v>
      </c>
      <c r="J24" t="s">
        <v>51</v>
      </c>
      <c r="K24">
        <v>6.1</v>
      </c>
      <c r="L24" t="s">
        <v>52</v>
      </c>
      <c r="N24" t="s">
        <v>39</v>
      </c>
      <c r="O24">
        <v>0.97</v>
      </c>
      <c r="P24" t="s">
        <v>40</v>
      </c>
      <c r="R24" t="s">
        <v>43</v>
      </c>
      <c r="S24">
        <v>1.68</v>
      </c>
      <c r="T24" t="s">
        <v>44</v>
      </c>
      <c r="V24" t="s">
        <v>39</v>
      </c>
      <c r="W24">
        <v>18.2</v>
      </c>
      <c r="X24" t="s">
        <v>40</v>
      </c>
      <c r="Z24" t="s">
        <v>51</v>
      </c>
      <c r="AA24">
        <v>82.4</v>
      </c>
      <c r="AB24" t="s">
        <v>52</v>
      </c>
      <c r="AD24" t="s">
        <v>51</v>
      </c>
      <c r="AE24">
        <v>75.7</v>
      </c>
      <c r="AF24" t="s">
        <v>52</v>
      </c>
      <c r="AH24" t="s">
        <v>43</v>
      </c>
      <c r="AI24">
        <v>167.05</v>
      </c>
      <c r="AJ24">
        <v>155.15</v>
      </c>
      <c r="AK24">
        <v>5.48</v>
      </c>
      <c r="AL24">
        <v>5.09</v>
      </c>
      <c r="AN24" t="s">
        <v>51</v>
      </c>
      <c r="AO24">
        <v>17106</v>
      </c>
      <c r="AP24" t="s">
        <v>52</v>
      </c>
    </row>
    <row r="25" spans="2:42" x14ac:dyDescent="0.2">
      <c r="B25" t="s">
        <v>47</v>
      </c>
      <c r="C25">
        <v>1.3</v>
      </c>
      <c r="D25" t="s">
        <v>48</v>
      </c>
      <c r="F25" t="s">
        <v>43</v>
      </c>
      <c r="G25">
        <v>42.3</v>
      </c>
      <c r="H25" t="s">
        <v>44</v>
      </c>
      <c r="J25" t="s">
        <v>53</v>
      </c>
      <c r="K25">
        <v>4.5</v>
      </c>
      <c r="L25" t="s">
        <v>54</v>
      </c>
      <c r="N25" t="s">
        <v>41</v>
      </c>
      <c r="O25">
        <v>0.94</v>
      </c>
      <c r="P25" t="s">
        <v>42</v>
      </c>
      <c r="R25" t="s">
        <v>45</v>
      </c>
      <c r="S25">
        <v>1.65</v>
      </c>
      <c r="T25" t="s">
        <v>46</v>
      </c>
      <c r="V25" t="s">
        <v>41</v>
      </c>
      <c r="W25">
        <v>43.4</v>
      </c>
      <c r="X25" t="s">
        <v>42</v>
      </c>
      <c r="Z25" t="s">
        <v>55</v>
      </c>
      <c r="AA25">
        <v>69.400000000000006</v>
      </c>
      <c r="AB25" t="s">
        <v>56</v>
      </c>
      <c r="AD25" t="s">
        <v>53</v>
      </c>
      <c r="AE25">
        <v>75.7</v>
      </c>
      <c r="AF25" t="s">
        <v>54</v>
      </c>
      <c r="AH25" t="s">
        <v>45</v>
      </c>
      <c r="AI25">
        <v>168.1</v>
      </c>
      <c r="AJ25">
        <v>155.58000000000001</v>
      </c>
      <c r="AK25">
        <v>5.52</v>
      </c>
      <c r="AL25">
        <v>5.0999999999999996</v>
      </c>
      <c r="AN25" t="s">
        <v>53</v>
      </c>
      <c r="AO25">
        <v>85011</v>
      </c>
      <c r="AP25" t="s">
        <v>54</v>
      </c>
    </row>
    <row r="26" spans="2:42" x14ac:dyDescent="0.2">
      <c r="B26" t="s">
        <v>49</v>
      </c>
      <c r="C26">
        <v>2.9</v>
      </c>
      <c r="D26" t="s">
        <v>50</v>
      </c>
      <c r="F26" t="s">
        <v>45</v>
      </c>
      <c r="G26">
        <v>70.099999999999994</v>
      </c>
      <c r="H26" t="s">
        <v>46</v>
      </c>
      <c r="J26" t="s">
        <v>55</v>
      </c>
      <c r="K26">
        <v>7.9</v>
      </c>
      <c r="L26" t="s">
        <v>56</v>
      </c>
      <c r="N26" t="s">
        <v>43</v>
      </c>
      <c r="O26">
        <v>1.08</v>
      </c>
      <c r="P26" t="s">
        <v>44</v>
      </c>
      <c r="R26" t="s">
        <v>47</v>
      </c>
      <c r="S26">
        <v>-0.14000000000000001</v>
      </c>
      <c r="T26" t="s">
        <v>48</v>
      </c>
      <c r="V26" t="s">
        <v>43</v>
      </c>
      <c r="W26">
        <v>27.6</v>
      </c>
      <c r="X26" t="s">
        <v>44</v>
      </c>
      <c r="Z26" t="s">
        <v>57</v>
      </c>
      <c r="AA26">
        <v>11.2</v>
      </c>
      <c r="AB26" t="s">
        <v>58</v>
      </c>
      <c r="AD26" t="s">
        <v>55</v>
      </c>
      <c r="AE26">
        <v>74.900000000000006</v>
      </c>
      <c r="AF26" t="s">
        <v>56</v>
      </c>
      <c r="AH26" t="s">
        <v>47</v>
      </c>
      <c r="AI26">
        <v>182.47</v>
      </c>
      <c r="AJ26">
        <v>167.47</v>
      </c>
      <c r="AK26">
        <v>5.99</v>
      </c>
      <c r="AL26">
        <v>5.49</v>
      </c>
      <c r="AN26" t="s">
        <v>55</v>
      </c>
      <c r="AO26">
        <v>26034</v>
      </c>
      <c r="AP26" t="s">
        <v>56</v>
      </c>
    </row>
    <row r="27" spans="2:42" x14ac:dyDescent="0.2">
      <c r="B27" t="s">
        <v>51</v>
      </c>
      <c r="C27">
        <v>1.7</v>
      </c>
      <c r="D27" t="s">
        <v>52</v>
      </c>
      <c r="F27" t="s">
        <v>47</v>
      </c>
      <c r="G27">
        <v>49</v>
      </c>
      <c r="H27" t="s">
        <v>48</v>
      </c>
      <c r="J27" t="s">
        <v>57</v>
      </c>
      <c r="K27">
        <v>14.8</v>
      </c>
      <c r="L27" t="s">
        <v>58</v>
      </c>
      <c r="N27" t="s">
        <v>45</v>
      </c>
      <c r="O27">
        <v>0.98</v>
      </c>
      <c r="P27" t="s">
        <v>46</v>
      </c>
      <c r="R27" t="s">
        <v>49</v>
      </c>
      <c r="S27">
        <v>0.86</v>
      </c>
      <c r="T27" t="s">
        <v>50</v>
      </c>
      <c r="V27" t="s">
        <v>45</v>
      </c>
      <c r="W27">
        <v>24.3</v>
      </c>
      <c r="X27" t="s">
        <v>46</v>
      </c>
      <c r="Z27" t="s">
        <v>59</v>
      </c>
      <c r="AA27">
        <v>3.5</v>
      </c>
      <c r="AB27" t="s">
        <v>60</v>
      </c>
      <c r="AD27" t="s">
        <v>57</v>
      </c>
      <c r="AE27">
        <v>61.2</v>
      </c>
      <c r="AF27" t="s">
        <v>58</v>
      </c>
      <c r="AH27" t="s">
        <v>49</v>
      </c>
      <c r="AI27">
        <v>173.16</v>
      </c>
      <c r="AJ27">
        <v>162.06</v>
      </c>
      <c r="AK27">
        <v>5.68</v>
      </c>
      <c r="AL27">
        <v>5.32</v>
      </c>
      <c r="AN27" t="s">
        <v>57</v>
      </c>
      <c r="AO27">
        <v>2181</v>
      </c>
      <c r="AP27" t="s">
        <v>58</v>
      </c>
    </row>
    <row r="28" spans="2:42" x14ac:dyDescent="0.2">
      <c r="B28" t="s">
        <v>53</v>
      </c>
      <c r="C28">
        <v>1.8</v>
      </c>
      <c r="D28" t="s">
        <v>54</v>
      </c>
      <c r="F28" t="s">
        <v>49</v>
      </c>
      <c r="G28">
        <v>70.900000000000006</v>
      </c>
      <c r="H28" t="s">
        <v>50</v>
      </c>
      <c r="J28" t="s">
        <v>59</v>
      </c>
      <c r="K28">
        <v>15</v>
      </c>
      <c r="L28" t="s">
        <v>60</v>
      </c>
      <c r="N28" t="s">
        <v>47</v>
      </c>
      <c r="O28">
        <v>0.95</v>
      </c>
      <c r="P28" t="s">
        <v>48</v>
      </c>
      <c r="R28" t="s">
        <v>51</v>
      </c>
      <c r="S28">
        <v>0.87</v>
      </c>
      <c r="T28" t="s">
        <v>52</v>
      </c>
      <c r="V28" t="s">
        <v>47</v>
      </c>
      <c r="W28">
        <v>42.1</v>
      </c>
      <c r="X28" t="s">
        <v>48</v>
      </c>
      <c r="Z28" t="s">
        <v>61</v>
      </c>
      <c r="AA28">
        <v>13.9</v>
      </c>
      <c r="AB28" t="s">
        <v>62</v>
      </c>
      <c r="AD28" t="s">
        <v>59</v>
      </c>
      <c r="AE28">
        <v>61.2</v>
      </c>
      <c r="AF28" t="s">
        <v>60</v>
      </c>
      <c r="AH28" t="s">
        <v>51</v>
      </c>
      <c r="AI28">
        <v>175.73</v>
      </c>
      <c r="AJ28">
        <v>162.41</v>
      </c>
      <c r="AK28">
        <v>5.77</v>
      </c>
      <c r="AL28">
        <v>5.33</v>
      </c>
      <c r="AN28" t="s">
        <v>59</v>
      </c>
      <c r="AO28">
        <v>724</v>
      </c>
      <c r="AP28" t="s">
        <v>60</v>
      </c>
    </row>
    <row r="29" spans="2:42" x14ac:dyDescent="0.2">
      <c r="B29" t="s">
        <v>55</v>
      </c>
      <c r="C29">
        <v>1.6</v>
      </c>
      <c r="D29" t="s">
        <v>56</v>
      </c>
      <c r="F29" t="s">
        <v>51</v>
      </c>
      <c r="G29">
        <v>87.1</v>
      </c>
      <c r="H29" t="s">
        <v>52</v>
      </c>
      <c r="J29" t="s">
        <v>61</v>
      </c>
      <c r="K29">
        <v>5.9</v>
      </c>
      <c r="L29" t="s">
        <v>62</v>
      </c>
      <c r="N29" t="s">
        <v>49</v>
      </c>
      <c r="O29">
        <v>0.93</v>
      </c>
      <c r="P29" t="s">
        <v>50</v>
      </c>
      <c r="R29" t="s">
        <v>53</v>
      </c>
      <c r="S29">
        <v>1.4</v>
      </c>
      <c r="T29" t="s">
        <v>54</v>
      </c>
      <c r="V29" t="s">
        <v>49</v>
      </c>
      <c r="W29">
        <v>24.5</v>
      </c>
      <c r="X29" t="s">
        <v>50</v>
      </c>
      <c r="Z29" t="s">
        <v>63</v>
      </c>
      <c r="AA29">
        <v>14.4</v>
      </c>
      <c r="AB29" t="s">
        <v>64</v>
      </c>
      <c r="AD29" t="s">
        <v>61</v>
      </c>
      <c r="AE29">
        <v>69.599999999999994</v>
      </c>
      <c r="AF29" t="s">
        <v>62</v>
      </c>
      <c r="AH29" t="s">
        <v>53</v>
      </c>
      <c r="AI29">
        <v>166.31</v>
      </c>
      <c r="AJ29">
        <v>154.9</v>
      </c>
      <c r="AK29">
        <v>5.46</v>
      </c>
      <c r="AL29">
        <v>5.08</v>
      </c>
      <c r="AN29" t="s">
        <v>61</v>
      </c>
      <c r="AO29">
        <v>5004</v>
      </c>
      <c r="AP29" t="s">
        <v>62</v>
      </c>
    </row>
    <row r="30" spans="2:42" x14ac:dyDescent="0.2">
      <c r="B30" t="s">
        <v>57</v>
      </c>
      <c r="C30">
        <v>5.2</v>
      </c>
      <c r="D30" t="s">
        <v>58</v>
      </c>
      <c r="F30" t="s">
        <v>53</v>
      </c>
      <c r="G30">
        <v>78.3</v>
      </c>
      <c r="H30" t="s">
        <v>54</v>
      </c>
      <c r="J30" t="s">
        <v>63</v>
      </c>
      <c r="K30">
        <v>19.5</v>
      </c>
      <c r="L30" t="s">
        <v>64</v>
      </c>
      <c r="N30" t="s">
        <v>51</v>
      </c>
      <c r="O30">
        <v>0.97</v>
      </c>
      <c r="P30" t="s">
        <v>52</v>
      </c>
      <c r="R30" t="s">
        <v>55</v>
      </c>
      <c r="S30">
        <v>-0.6</v>
      </c>
      <c r="T30" t="s">
        <v>56</v>
      </c>
      <c r="V30" t="s">
        <v>51</v>
      </c>
      <c r="W30">
        <v>32.6</v>
      </c>
      <c r="X30" t="s">
        <v>52</v>
      </c>
      <c r="Z30" t="s">
        <v>65</v>
      </c>
      <c r="AA30">
        <v>108.1</v>
      </c>
      <c r="AB30" t="s">
        <v>66</v>
      </c>
      <c r="AD30" t="s">
        <v>63</v>
      </c>
      <c r="AE30">
        <v>58.9</v>
      </c>
      <c r="AF30" t="s">
        <v>64</v>
      </c>
      <c r="AH30" t="s">
        <v>55</v>
      </c>
      <c r="AI30">
        <v>174.17</v>
      </c>
      <c r="AJ30">
        <v>164.58</v>
      </c>
      <c r="AK30">
        <v>5.71</v>
      </c>
      <c r="AL30">
        <v>5.4</v>
      </c>
      <c r="AN30" t="s">
        <v>63</v>
      </c>
      <c r="AO30">
        <v>4099</v>
      </c>
      <c r="AP30" t="s">
        <v>64</v>
      </c>
    </row>
    <row r="31" spans="2:42" x14ac:dyDescent="0.2">
      <c r="B31" t="s">
        <v>59</v>
      </c>
      <c r="C31">
        <v>5.4</v>
      </c>
      <c r="D31" t="s">
        <v>60</v>
      </c>
      <c r="F31" t="s">
        <v>55</v>
      </c>
      <c r="G31">
        <v>75.7</v>
      </c>
      <c r="H31" t="s">
        <v>56</v>
      </c>
      <c r="J31" t="s">
        <v>65</v>
      </c>
      <c r="K31">
        <v>10.4</v>
      </c>
      <c r="L31" t="s">
        <v>66</v>
      </c>
      <c r="N31" t="s">
        <v>53</v>
      </c>
      <c r="O31">
        <v>0.96</v>
      </c>
      <c r="P31" t="s">
        <v>54</v>
      </c>
      <c r="R31" t="s">
        <v>57</v>
      </c>
      <c r="S31">
        <v>2.86</v>
      </c>
      <c r="T31" t="s">
        <v>58</v>
      </c>
      <c r="V31" t="s">
        <v>459</v>
      </c>
      <c r="W31">
        <v>36.5</v>
      </c>
      <c r="Z31" t="s">
        <v>67</v>
      </c>
      <c r="AA31">
        <v>26.3</v>
      </c>
      <c r="AB31" t="s">
        <v>68</v>
      </c>
      <c r="AD31" t="s">
        <v>65</v>
      </c>
      <c r="AE31">
        <v>82.3</v>
      </c>
      <c r="AF31" t="s">
        <v>66</v>
      </c>
      <c r="AH31" t="s">
        <v>57</v>
      </c>
      <c r="AI31">
        <v>171.89</v>
      </c>
      <c r="AJ31">
        <v>161.33000000000001</v>
      </c>
      <c r="AK31">
        <v>5.64</v>
      </c>
      <c r="AL31">
        <v>5.29</v>
      </c>
      <c r="AN31" t="s">
        <v>65</v>
      </c>
      <c r="AO31">
        <v>52144</v>
      </c>
      <c r="AP31" t="s">
        <v>66</v>
      </c>
    </row>
    <row r="32" spans="2:42" x14ac:dyDescent="0.2">
      <c r="B32" t="s">
        <v>61</v>
      </c>
      <c r="C32">
        <v>2.5</v>
      </c>
      <c r="D32" t="s">
        <v>62</v>
      </c>
      <c r="F32" t="s">
        <v>57</v>
      </c>
      <c r="G32">
        <v>30.6</v>
      </c>
      <c r="H32" t="s">
        <v>58</v>
      </c>
      <c r="J32" t="s">
        <v>67</v>
      </c>
      <c r="K32">
        <v>15.1</v>
      </c>
      <c r="L32" t="s">
        <v>68</v>
      </c>
      <c r="N32" t="s">
        <v>55</v>
      </c>
      <c r="O32">
        <v>0.95</v>
      </c>
      <c r="P32" t="s">
        <v>56</v>
      </c>
      <c r="R32" t="s">
        <v>59</v>
      </c>
      <c r="S32">
        <v>3.19</v>
      </c>
      <c r="T32" t="s">
        <v>60</v>
      </c>
      <c r="V32" t="s">
        <v>53</v>
      </c>
      <c r="W32">
        <v>30.2</v>
      </c>
      <c r="X32" t="s">
        <v>54</v>
      </c>
      <c r="Z32" t="s">
        <v>69</v>
      </c>
      <c r="AA32">
        <v>28</v>
      </c>
      <c r="AB32" t="s">
        <v>70</v>
      </c>
      <c r="AD32" t="s">
        <v>67</v>
      </c>
      <c r="AE32">
        <v>72.8</v>
      </c>
      <c r="AF32" t="s">
        <v>68</v>
      </c>
      <c r="AH32" t="s">
        <v>59</v>
      </c>
      <c r="AI32">
        <v>167.34</v>
      </c>
      <c r="AJ32">
        <v>155.08000000000001</v>
      </c>
      <c r="AK32">
        <v>5.49</v>
      </c>
      <c r="AL32">
        <v>5.09</v>
      </c>
      <c r="AN32" t="s">
        <v>67</v>
      </c>
      <c r="AO32">
        <v>8716</v>
      </c>
      <c r="AP32" t="s">
        <v>68</v>
      </c>
    </row>
    <row r="33" spans="2:42" x14ac:dyDescent="0.2">
      <c r="B33" t="s">
        <v>63</v>
      </c>
      <c r="C33">
        <v>4.5999999999999996</v>
      </c>
      <c r="D33" t="s">
        <v>64</v>
      </c>
      <c r="F33" t="s">
        <v>59</v>
      </c>
      <c r="G33">
        <v>13.7</v>
      </c>
      <c r="H33" t="s">
        <v>60</v>
      </c>
      <c r="J33" t="s">
        <v>69</v>
      </c>
      <c r="K33">
        <v>11.6</v>
      </c>
      <c r="L33" t="s">
        <v>70</v>
      </c>
      <c r="N33" t="s">
        <v>57</v>
      </c>
      <c r="O33">
        <v>0.96</v>
      </c>
      <c r="P33" t="s">
        <v>58</v>
      </c>
      <c r="R33" t="s">
        <v>61</v>
      </c>
      <c r="S33">
        <v>1.76</v>
      </c>
      <c r="T33" t="s">
        <v>62</v>
      </c>
      <c r="V33" t="s">
        <v>55</v>
      </c>
      <c r="W33">
        <v>42.7</v>
      </c>
      <c r="X33" t="s">
        <v>56</v>
      </c>
      <c r="Z33" t="s">
        <v>71</v>
      </c>
      <c r="AA33">
        <v>14.3</v>
      </c>
      <c r="AB33" t="s">
        <v>72</v>
      </c>
      <c r="AD33" t="s">
        <v>69</v>
      </c>
      <c r="AE33">
        <v>52.8</v>
      </c>
      <c r="AF33" t="s">
        <v>70</v>
      </c>
      <c r="AH33" t="s">
        <v>61</v>
      </c>
      <c r="AI33">
        <v>165.35</v>
      </c>
      <c r="AJ33">
        <v>154.75</v>
      </c>
      <c r="AK33">
        <v>5.42</v>
      </c>
      <c r="AL33">
        <v>5.08</v>
      </c>
      <c r="AN33" t="s">
        <v>69</v>
      </c>
      <c r="AO33">
        <v>864</v>
      </c>
      <c r="AP33" t="s">
        <v>70</v>
      </c>
    </row>
    <row r="34" spans="2:42" x14ac:dyDescent="0.2">
      <c r="B34" t="s">
        <v>65</v>
      </c>
      <c r="C34">
        <v>1.5</v>
      </c>
      <c r="D34" t="s">
        <v>66</v>
      </c>
      <c r="F34" t="s">
        <v>61</v>
      </c>
      <c r="G34">
        <v>24.2</v>
      </c>
      <c r="H34" t="s">
        <v>62</v>
      </c>
      <c r="J34" t="s">
        <v>71</v>
      </c>
      <c r="K34">
        <v>15.5</v>
      </c>
      <c r="L34" t="s">
        <v>72</v>
      </c>
      <c r="N34" t="s">
        <v>59</v>
      </c>
      <c r="O34">
        <v>0.99</v>
      </c>
      <c r="P34" t="s">
        <v>60</v>
      </c>
      <c r="R34" t="s">
        <v>63</v>
      </c>
      <c r="S34">
        <v>2.54</v>
      </c>
      <c r="T34" t="s">
        <v>64</v>
      </c>
      <c r="V34" t="s">
        <v>57</v>
      </c>
      <c r="W34">
        <v>17.3</v>
      </c>
      <c r="X34" t="s">
        <v>58</v>
      </c>
      <c r="Z34" t="s">
        <v>73</v>
      </c>
      <c r="AA34">
        <v>66.400000000000006</v>
      </c>
      <c r="AB34" t="s">
        <v>74</v>
      </c>
      <c r="AD34" t="s">
        <v>71</v>
      </c>
      <c r="AE34">
        <v>54</v>
      </c>
      <c r="AF34" t="s">
        <v>72</v>
      </c>
      <c r="AH34" t="s">
        <v>63</v>
      </c>
      <c r="AI34">
        <v>172.13</v>
      </c>
      <c r="AJ34">
        <v>160.41</v>
      </c>
      <c r="AK34">
        <v>5.65</v>
      </c>
      <c r="AL34">
        <v>5.26</v>
      </c>
      <c r="AN34" t="s">
        <v>71</v>
      </c>
      <c r="AO34">
        <v>2603</v>
      </c>
      <c r="AP34" t="s">
        <v>72</v>
      </c>
    </row>
    <row r="35" spans="2:42" x14ac:dyDescent="0.2">
      <c r="B35" t="s">
        <v>67</v>
      </c>
      <c r="C35">
        <v>2.2999999999999998</v>
      </c>
      <c r="D35" t="s">
        <v>68</v>
      </c>
      <c r="F35" t="s">
        <v>63</v>
      </c>
      <c r="G35">
        <v>57.6</v>
      </c>
      <c r="H35" t="s">
        <v>64</v>
      </c>
      <c r="J35" t="s">
        <v>73</v>
      </c>
      <c r="K35">
        <v>9.6999999999999993</v>
      </c>
      <c r="L35" t="s">
        <v>74</v>
      </c>
      <c r="N35" t="s">
        <v>61</v>
      </c>
      <c r="O35">
        <v>0.95</v>
      </c>
      <c r="P35" t="s">
        <v>62</v>
      </c>
      <c r="R35" t="s">
        <v>65</v>
      </c>
      <c r="S35">
        <v>1.1399999999999999</v>
      </c>
      <c r="T35" t="s">
        <v>66</v>
      </c>
      <c r="V35" t="s">
        <v>59</v>
      </c>
      <c r="W35">
        <v>17</v>
      </c>
      <c r="X35" t="s">
        <v>60</v>
      </c>
      <c r="Z35" t="s">
        <v>75</v>
      </c>
      <c r="AA35">
        <v>52.4</v>
      </c>
      <c r="AB35" t="s">
        <v>76</v>
      </c>
      <c r="AD35" t="s">
        <v>73</v>
      </c>
      <c r="AE35">
        <v>80</v>
      </c>
      <c r="AF35" t="s">
        <v>74</v>
      </c>
      <c r="AH35" t="s">
        <v>65</v>
      </c>
      <c r="AI35">
        <v>178.75</v>
      </c>
      <c r="AJ35">
        <v>164.73</v>
      </c>
      <c r="AK35">
        <v>5.86</v>
      </c>
      <c r="AL35">
        <v>5.4</v>
      </c>
      <c r="AN35" t="s">
        <v>73</v>
      </c>
      <c r="AO35">
        <v>27150</v>
      </c>
      <c r="AP35" t="s">
        <v>74</v>
      </c>
    </row>
    <row r="36" spans="2:42" x14ac:dyDescent="0.2">
      <c r="B36" t="s">
        <v>69</v>
      </c>
      <c r="C36">
        <v>4.7</v>
      </c>
      <c r="D36" t="s">
        <v>70</v>
      </c>
      <c r="F36" t="s">
        <v>65</v>
      </c>
      <c r="G36">
        <v>81.599999999999994</v>
      </c>
      <c r="H36" t="s">
        <v>66</v>
      </c>
      <c r="J36" t="s">
        <v>75</v>
      </c>
      <c r="K36">
        <v>8</v>
      </c>
      <c r="L36" t="s">
        <v>76</v>
      </c>
      <c r="N36" t="s">
        <v>63</v>
      </c>
      <c r="O36">
        <v>0.99</v>
      </c>
      <c r="P36" t="s">
        <v>64</v>
      </c>
      <c r="R36" t="s">
        <v>67</v>
      </c>
      <c r="S36">
        <v>0.78</v>
      </c>
      <c r="T36" t="s">
        <v>68</v>
      </c>
      <c r="V36" t="s">
        <v>67</v>
      </c>
      <c r="W36">
        <v>25.4</v>
      </c>
      <c r="X36" t="s">
        <v>68</v>
      </c>
      <c r="Z36" t="s">
        <v>77</v>
      </c>
      <c r="AA36">
        <v>33.9</v>
      </c>
      <c r="AB36" t="s">
        <v>78</v>
      </c>
      <c r="AD36" t="s">
        <v>75</v>
      </c>
      <c r="AE36">
        <v>76.7</v>
      </c>
      <c r="AF36" t="s">
        <v>76</v>
      </c>
      <c r="AH36" t="s">
        <v>69</v>
      </c>
      <c r="AI36">
        <v>169.01</v>
      </c>
      <c r="AJ36">
        <v>159.65</v>
      </c>
      <c r="AK36">
        <v>5.54</v>
      </c>
      <c r="AL36">
        <v>5.24</v>
      </c>
      <c r="AN36" t="s">
        <v>75</v>
      </c>
      <c r="AO36">
        <v>20984</v>
      </c>
      <c r="AP36" t="s">
        <v>76</v>
      </c>
    </row>
    <row r="37" spans="2:42" x14ac:dyDescent="0.2">
      <c r="B37" t="s">
        <v>71</v>
      </c>
      <c r="C37">
        <v>5.7</v>
      </c>
      <c r="D37" t="s">
        <v>72</v>
      </c>
      <c r="F37" t="s">
        <v>67</v>
      </c>
      <c r="G37">
        <v>66.7</v>
      </c>
      <c r="H37" t="s">
        <v>68</v>
      </c>
      <c r="J37" t="s">
        <v>77</v>
      </c>
      <c r="K37">
        <v>7</v>
      </c>
      <c r="L37" t="s">
        <v>78</v>
      </c>
      <c r="N37" t="s">
        <v>65</v>
      </c>
      <c r="O37">
        <v>0.98</v>
      </c>
      <c r="P37" t="s">
        <v>66</v>
      </c>
      <c r="R37" t="s">
        <v>408</v>
      </c>
      <c r="S37">
        <v>1.7</v>
      </c>
      <c r="T37" t="s">
        <v>409</v>
      </c>
      <c r="V37" t="s">
        <v>61</v>
      </c>
      <c r="W37">
        <v>25.3</v>
      </c>
      <c r="X37" t="s">
        <v>62</v>
      </c>
      <c r="Z37" t="s">
        <v>79</v>
      </c>
      <c r="AA37">
        <v>7.6</v>
      </c>
      <c r="AB37" t="s">
        <v>80</v>
      </c>
      <c r="AD37" t="s">
        <v>77</v>
      </c>
      <c r="AE37">
        <v>77.099999999999994</v>
      </c>
      <c r="AF37" t="s">
        <v>78</v>
      </c>
      <c r="AH37" t="s">
        <v>71</v>
      </c>
      <c r="AI37">
        <v>171.84</v>
      </c>
      <c r="AJ37">
        <v>162.12</v>
      </c>
      <c r="AK37">
        <v>5.64</v>
      </c>
      <c r="AL37">
        <v>5.32</v>
      </c>
      <c r="AN37" t="s">
        <v>77</v>
      </c>
      <c r="AO37">
        <v>16265</v>
      </c>
      <c r="AP37" t="s">
        <v>78</v>
      </c>
    </row>
    <row r="38" spans="2:42" x14ac:dyDescent="0.2">
      <c r="B38" t="s">
        <v>73</v>
      </c>
      <c r="C38">
        <v>1.6</v>
      </c>
      <c r="D38" t="s">
        <v>74</v>
      </c>
      <c r="F38" t="s">
        <v>408</v>
      </c>
      <c r="G38">
        <v>100</v>
      </c>
      <c r="H38" t="s">
        <v>409</v>
      </c>
      <c r="J38" t="s">
        <v>79</v>
      </c>
      <c r="K38">
        <v>11.1</v>
      </c>
      <c r="L38" t="s">
        <v>80</v>
      </c>
      <c r="N38" t="s">
        <v>67</v>
      </c>
      <c r="O38">
        <v>0.95</v>
      </c>
      <c r="P38" t="s">
        <v>68</v>
      </c>
      <c r="R38" t="s">
        <v>69</v>
      </c>
      <c r="S38">
        <v>1.99</v>
      </c>
      <c r="T38" t="s">
        <v>70</v>
      </c>
      <c r="V38" t="s">
        <v>63</v>
      </c>
      <c r="W38">
        <v>18.5</v>
      </c>
      <c r="X38" t="s">
        <v>64</v>
      </c>
      <c r="Z38" t="s">
        <v>81</v>
      </c>
      <c r="AA38">
        <v>40.4</v>
      </c>
      <c r="AB38" t="s">
        <v>82</v>
      </c>
      <c r="AD38" t="s">
        <v>79</v>
      </c>
      <c r="AE38">
        <v>64.099999999999994</v>
      </c>
      <c r="AF38" t="s">
        <v>80</v>
      </c>
      <c r="AH38" t="s">
        <v>73</v>
      </c>
      <c r="AI38">
        <v>172.88</v>
      </c>
      <c r="AJ38">
        <v>159.41999999999999</v>
      </c>
      <c r="AK38">
        <v>5.67</v>
      </c>
      <c r="AL38">
        <v>5.23</v>
      </c>
      <c r="AN38" t="s">
        <v>79</v>
      </c>
      <c r="AO38">
        <v>2898</v>
      </c>
      <c r="AP38" t="s">
        <v>80</v>
      </c>
    </row>
    <row r="39" spans="2:42" x14ac:dyDescent="0.2">
      <c r="B39" t="s">
        <v>75</v>
      </c>
      <c r="C39">
        <v>1.7</v>
      </c>
      <c r="D39" t="s">
        <v>76</v>
      </c>
      <c r="F39" t="s">
        <v>69</v>
      </c>
      <c r="G39">
        <v>42.2</v>
      </c>
      <c r="H39" t="s">
        <v>70</v>
      </c>
      <c r="J39" t="s">
        <v>81</v>
      </c>
      <c r="K39">
        <v>7.5</v>
      </c>
      <c r="L39" t="s">
        <v>82</v>
      </c>
      <c r="N39" t="s">
        <v>408</v>
      </c>
      <c r="O39">
        <v>0.95</v>
      </c>
      <c r="P39" t="s">
        <v>409</v>
      </c>
      <c r="R39" t="s">
        <v>71</v>
      </c>
      <c r="S39">
        <v>3</v>
      </c>
      <c r="T39" t="s">
        <v>72</v>
      </c>
      <c r="V39" t="s">
        <v>65</v>
      </c>
      <c r="W39">
        <v>42.2</v>
      </c>
      <c r="X39" t="s">
        <v>66</v>
      </c>
      <c r="Z39" t="s">
        <v>83</v>
      </c>
      <c r="AA39">
        <v>49.9</v>
      </c>
      <c r="AB39" t="s">
        <v>84</v>
      </c>
      <c r="AD39" t="s">
        <v>81</v>
      </c>
      <c r="AE39">
        <v>80.099999999999994</v>
      </c>
      <c r="AF39" t="s">
        <v>82</v>
      </c>
      <c r="AH39" t="s">
        <v>75</v>
      </c>
      <c r="AI39">
        <v>175.66</v>
      </c>
      <c r="AJ39">
        <v>163.46</v>
      </c>
      <c r="AK39">
        <v>5.76</v>
      </c>
      <c r="AL39">
        <v>5.36</v>
      </c>
      <c r="AN39" t="s">
        <v>81</v>
      </c>
      <c r="AO39">
        <v>18651</v>
      </c>
      <c r="AP39" t="s">
        <v>82</v>
      </c>
    </row>
    <row r="40" spans="2:42" x14ac:dyDescent="0.2">
      <c r="B40" t="s">
        <v>77</v>
      </c>
      <c r="C40">
        <v>1.8</v>
      </c>
      <c r="D40" t="s">
        <v>78</v>
      </c>
      <c r="F40" t="s">
        <v>71</v>
      </c>
      <c r="G40">
        <v>23.5</v>
      </c>
      <c r="H40" t="s">
        <v>72</v>
      </c>
      <c r="J40" t="s">
        <v>83</v>
      </c>
      <c r="K40">
        <v>11.5</v>
      </c>
      <c r="L40" t="s">
        <v>84</v>
      </c>
      <c r="N40" t="s">
        <v>69</v>
      </c>
      <c r="O40">
        <v>0.99</v>
      </c>
      <c r="P40" t="s">
        <v>70</v>
      </c>
      <c r="R40" t="s">
        <v>73</v>
      </c>
      <c r="S40">
        <v>0.9</v>
      </c>
      <c r="T40" t="s">
        <v>74</v>
      </c>
      <c r="V40" t="s">
        <v>408</v>
      </c>
      <c r="W40">
        <v>40</v>
      </c>
      <c r="X40" t="s">
        <v>409</v>
      </c>
      <c r="Z40" t="s">
        <v>85</v>
      </c>
      <c r="AA40">
        <v>32.200000000000003</v>
      </c>
      <c r="AB40" t="s">
        <v>86</v>
      </c>
      <c r="AD40" t="s">
        <v>83</v>
      </c>
      <c r="AE40">
        <v>78.3</v>
      </c>
      <c r="AF40" t="s">
        <v>84</v>
      </c>
      <c r="AH40" t="s">
        <v>77</v>
      </c>
      <c r="AI40">
        <v>171.85</v>
      </c>
      <c r="AJ40">
        <v>157.96</v>
      </c>
      <c r="AK40">
        <v>5.64</v>
      </c>
      <c r="AL40">
        <v>5.18</v>
      </c>
      <c r="AN40" t="s">
        <v>83</v>
      </c>
      <c r="AO40">
        <v>29207</v>
      </c>
      <c r="AP40" t="s">
        <v>84</v>
      </c>
    </row>
    <row r="41" spans="2:42" x14ac:dyDescent="0.2">
      <c r="B41" t="s">
        <v>79</v>
      </c>
      <c r="C41">
        <v>4.2</v>
      </c>
      <c r="D41" t="s">
        <v>80</v>
      </c>
      <c r="F41" t="s">
        <v>73</v>
      </c>
      <c r="G41">
        <v>87.7</v>
      </c>
      <c r="H41" t="s">
        <v>74</v>
      </c>
      <c r="J41" t="s">
        <v>85</v>
      </c>
      <c r="K41">
        <v>10.1</v>
      </c>
      <c r="L41" t="s">
        <v>86</v>
      </c>
      <c r="N41" t="s">
        <v>71</v>
      </c>
      <c r="O41">
        <v>0.98</v>
      </c>
      <c r="P41" t="s">
        <v>72</v>
      </c>
      <c r="R41" t="s">
        <v>75</v>
      </c>
      <c r="S41">
        <v>0.49</v>
      </c>
      <c r="T41" t="s">
        <v>76</v>
      </c>
      <c r="V41" t="s">
        <v>69</v>
      </c>
      <c r="W41">
        <v>19.7</v>
      </c>
      <c r="X41" t="s">
        <v>70</v>
      </c>
      <c r="Z41" t="s">
        <v>89</v>
      </c>
      <c r="AA41">
        <v>131.30000000000001</v>
      </c>
      <c r="AB41" t="s">
        <v>90</v>
      </c>
      <c r="AD41" t="s">
        <v>85</v>
      </c>
      <c r="AE41">
        <v>78.599999999999994</v>
      </c>
      <c r="AF41" t="s">
        <v>86</v>
      </c>
      <c r="AH41" t="s">
        <v>79</v>
      </c>
      <c r="AI41">
        <v>167.72</v>
      </c>
      <c r="AJ41">
        <v>156.54</v>
      </c>
      <c r="AK41">
        <v>5.5</v>
      </c>
      <c r="AL41">
        <v>5.14</v>
      </c>
      <c r="AN41" t="s">
        <v>85</v>
      </c>
      <c r="AO41">
        <v>8822</v>
      </c>
      <c r="AP41" t="s">
        <v>86</v>
      </c>
    </row>
    <row r="42" spans="2:42" x14ac:dyDescent="0.2">
      <c r="B42" t="s">
        <v>81</v>
      </c>
      <c r="C42">
        <v>1.8</v>
      </c>
      <c r="D42" t="s">
        <v>82</v>
      </c>
      <c r="F42" t="s">
        <v>75</v>
      </c>
      <c r="G42">
        <v>61.4</v>
      </c>
      <c r="H42" t="s">
        <v>76</v>
      </c>
      <c r="J42" t="s">
        <v>89</v>
      </c>
      <c r="K42">
        <v>4.5</v>
      </c>
      <c r="L42" t="s">
        <v>90</v>
      </c>
      <c r="N42" t="s">
        <v>73</v>
      </c>
      <c r="O42">
        <v>0.97</v>
      </c>
      <c r="P42" t="s">
        <v>74</v>
      </c>
      <c r="R42" t="s">
        <v>77</v>
      </c>
      <c r="S42">
        <v>1.32</v>
      </c>
      <c r="T42" t="s">
        <v>78</v>
      </c>
      <c r="V42" t="s">
        <v>71</v>
      </c>
      <c r="W42">
        <v>17.8</v>
      </c>
      <c r="X42" t="s">
        <v>72</v>
      </c>
      <c r="Z42" t="s">
        <v>91</v>
      </c>
      <c r="AA42">
        <v>77.3</v>
      </c>
      <c r="AB42" t="s">
        <v>92</v>
      </c>
      <c r="AD42" t="s">
        <v>89</v>
      </c>
      <c r="AE42">
        <v>80.8</v>
      </c>
      <c r="AF42" t="s">
        <v>90</v>
      </c>
      <c r="AH42" t="s">
        <v>428</v>
      </c>
      <c r="AI42">
        <v>178.32</v>
      </c>
      <c r="AJ42">
        <v>167.31</v>
      </c>
      <c r="AK42">
        <v>5.85</v>
      </c>
      <c r="AL42">
        <v>5.49</v>
      </c>
      <c r="AN42" t="s">
        <v>89</v>
      </c>
      <c r="AO42">
        <v>42956</v>
      </c>
      <c r="AP42" t="s">
        <v>90</v>
      </c>
    </row>
    <row r="43" spans="2:42" x14ac:dyDescent="0.2">
      <c r="B43" t="s">
        <v>83</v>
      </c>
      <c r="C43">
        <v>1.5</v>
      </c>
      <c r="D43" t="s">
        <v>84</v>
      </c>
      <c r="F43" t="s">
        <v>77</v>
      </c>
      <c r="G43">
        <v>81.400000000000006</v>
      </c>
      <c r="H43" t="s">
        <v>78</v>
      </c>
      <c r="J43" t="s">
        <v>91</v>
      </c>
      <c r="K43">
        <v>10.5</v>
      </c>
      <c r="L43" t="s">
        <v>92</v>
      </c>
      <c r="N43" t="s">
        <v>75</v>
      </c>
      <c r="O43">
        <v>1.06</v>
      </c>
      <c r="P43" t="s">
        <v>76</v>
      </c>
      <c r="R43" t="s">
        <v>79</v>
      </c>
      <c r="S43">
        <v>2.44</v>
      </c>
      <c r="T43" t="s">
        <v>80</v>
      </c>
      <c r="V43" t="s">
        <v>73</v>
      </c>
      <c r="W43">
        <v>34.4</v>
      </c>
      <c r="X43" t="s">
        <v>74</v>
      </c>
      <c r="Z43" t="s">
        <v>93</v>
      </c>
      <c r="AA43">
        <v>4.8</v>
      </c>
      <c r="AB43" t="s">
        <v>94</v>
      </c>
      <c r="AD43" t="s">
        <v>91</v>
      </c>
      <c r="AE43">
        <v>79.2</v>
      </c>
      <c r="AF43" t="s">
        <v>92</v>
      </c>
      <c r="AH43" t="s">
        <v>81</v>
      </c>
      <c r="AI43">
        <v>174.04</v>
      </c>
      <c r="AJ43">
        <v>160.36000000000001</v>
      </c>
      <c r="AK43">
        <v>5.71</v>
      </c>
      <c r="AL43">
        <v>5.26</v>
      </c>
      <c r="AN43" t="s">
        <v>91</v>
      </c>
      <c r="AO43">
        <v>40585</v>
      </c>
      <c r="AP43" t="s">
        <v>92</v>
      </c>
    </row>
    <row r="44" spans="2:42" x14ac:dyDescent="0.2">
      <c r="B44" t="s">
        <v>85</v>
      </c>
      <c r="C44">
        <v>1.6</v>
      </c>
      <c r="D44" t="s">
        <v>86</v>
      </c>
      <c r="F44" t="s">
        <v>79</v>
      </c>
      <c r="G44">
        <v>29.4</v>
      </c>
      <c r="H44" t="s">
        <v>80</v>
      </c>
      <c r="J44" t="s">
        <v>93</v>
      </c>
      <c r="K44">
        <v>9.6999999999999993</v>
      </c>
      <c r="L44" t="s">
        <v>94</v>
      </c>
      <c r="N44" t="s">
        <v>77</v>
      </c>
      <c r="O44">
        <v>0.98</v>
      </c>
      <c r="P44" t="s">
        <v>78</v>
      </c>
      <c r="R44" t="s">
        <v>81</v>
      </c>
      <c r="S44">
        <v>1.42</v>
      </c>
      <c r="T44" t="s">
        <v>82</v>
      </c>
      <c r="V44" t="s">
        <v>75</v>
      </c>
      <c r="W44">
        <v>37.4</v>
      </c>
      <c r="X44" t="s">
        <v>76</v>
      </c>
      <c r="Z44" t="s">
        <v>95</v>
      </c>
      <c r="AA44">
        <v>145.9</v>
      </c>
      <c r="AB44" t="s">
        <v>96</v>
      </c>
      <c r="AD44" t="s">
        <v>93</v>
      </c>
      <c r="AE44">
        <v>60.4</v>
      </c>
      <c r="AF44" t="s">
        <v>94</v>
      </c>
      <c r="AH44" t="s">
        <v>83</v>
      </c>
      <c r="AI44">
        <v>180.76</v>
      </c>
      <c r="AJ44">
        <v>166.8</v>
      </c>
      <c r="AK44">
        <v>5.93</v>
      </c>
      <c r="AL44">
        <v>5.47</v>
      </c>
      <c r="AN44" t="s">
        <v>93</v>
      </c>
      <c r="AO44">
        <v>873</v>
      </c>
      <c r="AP44" t="s">
        <v>94</v>
      </c>
    </row>
    <row r="45" spans="2:42" x14ac:dyDescent="0.2">
      <c r="B45" t="s">
        <v>87</v>
      </c>
      <c r="C45">
        <v>1.7</v>
      </c>
      <c r="D45" t="s">
        <v>88</v>
      </c>
      <c r="F45" t="s">
        <v>428</v>
      </c>
      <c r="G45">
        <v>75.5</v>
      </c>
      <c r="H45" t="s">
        <v>429</v>
      </c>
      <c r="J45" t="s">
        <v>95</v>
      </c>
      <c r="K45">
        <v>9.1999999999999993</v>
      </c>
      <c r="L45" t="s">
        <v>96</v>
      </c>
      <c r="N45" t="s">
        <v>79</v>
      </c>
      <c r="O45">
        <v>0.94</v>
      </c>
      <c r="P45" t="s">
        <v>80</v>
      </c>
      <c r="R45" t="s">
        <v>83</v>
      </c>
      <c r="S45">
        <v>-0.32</v>
      </c>
      <c r="T45" t="s">
        <v>84</v>
      </c>
      <c r="V45" t="s">
        <v>77</v>
      </c>
      <c r="W45">
        <v>30</v>
      </c>
      <c r="X45" t="s">
        <v>78</v>
      </c>
      <c r="Z45" t="s">
        <v>97</v>
      </c>
      <c r="AA45">
        <v>17.100000000000001</v>
      </c>
      <c r="AB45" t="s">
        <v>98</v>
      </c>
      <c r="AD45" t="s">
        <v>95</v>
      </c>
      <c r="AE45">
        <v>80.8</v>
      </c>
      <c r="AF45" t="s">
        <v>96</v>
      </c>
      <c r="AH45" t="s">
        <v>85</v>
      </c>
      <c r="AI45">
        <v>173.56</v>
      </c>
      <c r="AJ45">
        <v>160.13</v>
      </c>
      <c r="AK45">
        <v>5.69</v>
      </c>
      <c r="AL45">
        <v>5.25</v>
      </c>
      <c r="AN45" t="s">
        <v>95</v>
      </c>
      <c r="AO45">
        <v>55675</v>
      </c>
      <c r="AP45" t="s">
        <v>96</v>
      </c>
    </row>
    <row r="46" spans="2:42" x14ac:dyDescent="0.2">
      <c r="B46" t="s">
        <v>89</v>
      </c>
      <c r="C46">
        <v>1.3</v>
      </c>
      <c r="D46" t="s">
        <v>90</v>
      </c>
      <c r="F46" t="s">
        <v>81</v>
      </c>
      <c r="G46">
        <v>80.8</v>
      </c>
      <c r="H46" t="s">
        <v>82</v>
      </c>
      <c r="J46" t="s">
        <v>97</v>
      </c>
      <c r="K46">
        <v>8.5</v>
      </c>
      <c r="L46" t="s">
        <v>98</v>
      </c>
      <c r="N46" t="s">
        <v>93</v>
      </c>
      <c r="O46">
        <v>1</v>
      </c>
      <c r="P46" t="s">
        <v>94</v>
      </c>
      <c r="R46" t="s">
        <v>85</v>
      </c>
      <c r="S46">
        <v>-0.05</v>
      </c>
      <c r="T46" t="s">
        <v>86</v>
      </c>
      <c r="V46" t="s">
        <v>79</v>
      </c>
      <c r="W46">
        <v>19.899999999999999</v>
      </c>
      <c r="X46" t="s">
        <v>80</v>
      </c>
      <c r="Z46" t="s">
        <v>99</v>
      </c>
      <c r="AA46">
        <v>67.099999999999994</v>
      </c>
      <c r="AB46" t="s">
        <v>100</v>
      </c>
      <c r="AD46" t="s">
        <v>97</v>
      </c>
      <c r="AE46">
        <v>66.599999999999994</v>
      </c>
      <c r="AF46" t="s">
        <v>98</v>
      </c>
      <c r="AH46" t="s">
        <v>89</v>
      </c>
      <c r="AI46">
        <v>172.75</v>
      </c>
      <c r="AJ46">
        <v>160.55000000000001</v>
      </c>
      <c r="AK46">
        <v>5.67</v>
      </c>
      <c r="AL46">
        <v>5.27</v>
      </c>
      <c r="AN46" t="s">
        <v>97</v>
      </c>
      <c r="AO46">
        <v>5855</v>
      </c>
      <c r="AP46" t="s">
        <v>98</v>
      </c>
    </row>
    <row r="47" spans="2:42" x14ac:dyDescent="0.2">
      <c r="B47" t="s">
        <v>91</v>
      </c>
      <c r="C47">
        <v>1.7</v>
      </c>
      <c r="D47" t="s">
        <v>92</v>
      </c>
      <c r="F47" t="s">
        <v>83</v>
      </c>
      <c r="G47">
        <v>57.6</v>
      </c>
      <c r="H47" t="s">
        <v>84</v>
      </c>
      <c r="J47" t="s">
        <v>101</v>
      </c>
      <c r="K47">
        <v>10.5</v>
      </c>
      <c r="L47" t="s">
        <v>102</v>
      </c>
      <c r="N47" t="s">
        <v>295</v>
      </c>
      <c r="O47">
        <v>1.01</v>
      </c>
      <c r="P47" t="s">
        <v>296</v>
      </c>
      <c r="R47" t="s">
        <v>87</v>
      </c>
      <c r="S47">
        <v>0.73</v>
      </c>
      <c r="T47" t="s">
        <v>88</v>
      </c>
      <c r="V47" t="s">
        <v>93</v>
      </c>
      <c r="W47">
        <v>18.600000000000001</v>
      </c>
      <c r="X47" t="s">
        <v>94</v>
      </c>
      <c r="Z47" t="s">
        <v>101</v>
      </c>
      <c r="AA47">
        <v>37.799999999999997</v>
      </c>
      <c r="AB47" t="s">
        <v>102</v>
      </c>
      <c r="AD47" t="s">
        <v>101</v>
      </c>
      <c r="AE47">
        <v>73.900000000000006</v>
      </c>
      <c r="AF47" t="s">
        <v>102</v>
      </c>
      <c r="AH47" t="s">
        <v>91</v>
      </c>
      <c r="AI47">
        <v>181.19</v>
      </c>
      <c r="AJ47">
        <v>167.96</v>
      </c>
      <c r="AK47">
        <v>5.94</v>
      </c>
      <c r="AL47">
        <v>5.51</v>
      </c>
      <c r="AN47" t="s">
        <v>99</v>
      </c>
      <c r="AO47">
        <v>12851</v>
      </c>
      <c r="AP47" t="s">
        <v>100</v>
      </c>
    </row>
    <row r="48" spans="2:42" x14ac:dyDescent="0.2">
      <c r="B48" t="s">
        <v>93</v>
      </c>
      <c r="C48">
        <v>5.9</v>
      </c>
      <c r="D48" t="s">
        <v>94</v>
      </c>
      <c r="F48" t="s">
        <v>85</v>
      </c>
      <c r="G48">
        <v>77.2</v>
      </c>
      <c r="H48" t="s">
        <v>86</v>
      </c>
      <c r="J48" t="s">
        <v>103</v>
      </c>
      <c r="K48">
        <v>6.4</v>
      </c>
      <c r="L48" t="s">
        <v>104</v>
      </c>
      <c r="N48" t="s">
        <v>428</v>
      </c>
      <c r="O48">
        <v>1.06</v>
      </c>
      <c r="P48" t="s">
        <v>429</v>
      </c>
      <c r="R48" t="s">
        <v>89</v>
      </c>
      <c r="S48">
        <v>1.1100000000000001</v>
      </c>
      <c r="T48" t="s">
        <v>90</v>
      </c>
      <c r="V48" t="s">
        <v>295</v>
      </c>
      <c r="W48">
        <v>19.7</v>
      </c>
      <c r="X48" t="s">
        <v>296</v>
      </c>
      <c r="Z48" t="s">
        <v>103</v>
      </c>
      <c r="AA48">
        <v>41.3</v>
      </c>
      <c r="AB48" t="s">
        <v>104</v>
      </c>
      <c r="AD48" t="s">
        <v>103</v>
      </c>
      <c r="AE48">
        <v>69.3</v>
      </c>
      <c r="AF48" t="s">
        <v>104</v>
      </c>
      <c r="AH48" t="s">
        <v>95</v>
      </c>
      <c r="AI48">
        <v>181.89</v>
      </c>
      <c r="AJ48">
        <v>169.47</v>
      </c>
      <c r="AK48">
        <v>5.97</v>
      </c>
      <c r="AL48">
        <v>5.56</v>
      </c>
      <c r="AN48" t="s">
        <v>101</v>
      </c>
      <c r="AO48">
        <v>20625</v>
      </c>
      <c r="AP48" t="s">
        <v>102</v>
      </c>
    </row>
    <row r="49" spans="2:42" x14ac:dyDescent="0.2">
      <c r="B49" t="s">
        <v>95</v>
      </c>
      <c r="C49">
        <v>1.7</v>
      </c>
      <c r="D49" t="s">
        <v>96</v>
      </c>
      <c r="F49" t="s">
        <v>87</v>
      </c>
      <c r="G49">
        <v>89.1</v>
      </c>
      <c r="H49" t="s">
        <v>88</v>
      </c>
      <c r="J49" t="s">
        <v>105</v>
      </c>
      <c r="K49">
        <v>7.2</v>
      </c>
      <c r="L49" t="s">
        <v>106</v>
      </c>
      <c r="N49" t="s">
        <v>81</v>
      </c>
      <c r="O49">
        <v>1</v>
      </c>
      <c r="P49" t="s">
        <v>82</v>
      </c>
      <c r="R49" t="s">
        <v>91</v>
      </c>
      <c r="S49">
        <v>0.18</v>
      </c>
      <c r="T49" t="s">
        <v>92</v>
      </c>
      <c r="V49" t="s">
        <v>428</v>
      </c>
      <c r="W49">
        <v>36.5</v>
      </c>
      <c r="X49" t="s">
        <v>429</v>
      </c>
      <c r="Z49" t="s">
        <v>105</v>
      </c>
      <c r="AA49">
        <v>45</v>
      </c>
      <c r="AB49" t="s">
        <v>106</v>
      </c>
      <c r="AD49" t="s">
        <v>105</v>
      </c>
      <c r="AE49">
        <v>76.8</v>
      </c>
      <c r="AF49" t="s">
        <v>106</v>
      </c>
      <c r="AH49" t="s">
        <v>97</v>
      </c>
      <c r="AI49">
        <v>170.77</v>
      </c>
      <c r="AJ49">
        <v>159.82</v>
      </c>
      <c r="AK49">
        <v>5.6</v>
      </c>
      <c r="AL49">
        <v>5.24</v>
      </c>
      <c r="AN49" t="s">
        <v>103</v>
      </c>
      <c r="AO49">
        <v>5321</v>
      </c>
      <c r="AP49" t="s">
        <v>104</v>
      </c>
    </row>
    <row r="50" spans="2:42" x14ac:dyDescent="0.2">
      <c r="B50" t="s">
        <v>97</v>
      </c>
      <c r="C50">
        <v>2.7</v>
      </c>
      <c r="D50" t="s">
        <v>98</v>
      </c>
      <c r="F50" t="s">
        <v>89</v>
      </c>
      <c r="G50">
        <v>66.8</v>
      </c>
      <c r="H50" t="s">
        <v>90</v>
      </c>
      <c r="J50" t="s">
        <v>107</v>
      </c>
      <c r="K50">
        <v>4.4000000000000004</v>
      </c>
      <c r="L50" t="s">
        <v>108</v>
      </c>
      <c r="N50" t="s">
        <v>83</v>
      </c>
      <c r="O50">
        <v>0.93</v>
      </c>
      <c r="P50" t="s">
        <v>84</v>
      </c>
      <c r="R50" t="s">
        <v>93</v>
      </c>
      <c r="S50">
        <v>2.74</v>
      </c>
      <c r="T50" t="s">
        <v>94</v>
      </c>
      <c r="V50" t="s">
        <v>81</v>
      </c>
      <c r="W50">
        <v>31.3</v>
      </c>
      <c r="X50" t="s">
        <v>82</v>
      </c>
      <c r="Z50" t="s">
        <v>107</v>
      </c>
      <c r="AA50">
        <v>22.5</v>
      </c>
      <c r="AB50" t="s">
        <v>108</v>
      </c>
      <c r="AD50" t="s">
        <v>107</v>
      </c>
      <c r="AE50">
        <v>71.8</v>
      </c>
      <c r="AF50" t="s">
        <v>108</v>
      </c>
      <c r="AH50" t="s">
        <v>99</v>
      </c>
      <c r="AI50">
        <v>180.15</v>
      </c>
      <c r="AJ50">
        <v>166.89</v>
      </c>
      <c r="AK50">
        <v>5.91</v>
      </c>
      <c r="AL50">
        <v>5.48</v>
      </c>
      <c r="AN50" t="s">
        <v>105</v>
      </c>
      <c r="AO50">
        <v>11866</v>
      </c>
      <c r="AP50" t="s">
        <v>106</v>
      </c>
    </row>
    <row r="51" spans="2:42" x14ac:dyDescent="0.2">
      <c r="B51" t="s">
        <v>99</v>
      </c>
      <c r="C51">
        <v>1.9</v>
      </c>
      <c r="D51" t="s">
        <v>100</v>
      </c>
      <c r="F51" t="s">
        <v>91</v>
      </c>
      <c r="G51">
        <v>74.099999999999994</v>
      </c>
      <c r="H51" t="s">
        <v>92</v>
      </c>
      <c r="J51" t="s">
        <v>109</v>
      </c>
      <c r="K51">
        <v>13.5</v>
      </c>
      <c r="L51" t="s">
        <v>110</v>
      </c>
      <c r="N51" t="s">
        <v>85</v>
      </c>
      <c r="O51">
        <v>0.99</v>
      </c>
      <c r="P51" t="s">
        <v>86</v>
      </c>
      <c r="R51" t="s">
        <v>95</v>
      </c>
      <c r="S51">
        <v>0.36</v>
      </c>
      <c r="T51" t="s">
        <v>96</v>
      </c>
      <c r="V51" t="s">
        <v>179</v>
      </c>
      <c r="W51">
        <v>20.9</v>
      </c>
      <c r="X51" t="s">
        <v>180</v>
      </c>
      <c r="Z51" t="s">
        <v>109</v>
      </c>
      <c r="AA51">
        <v>21.4</v>
      </c>
      <c r="AB51" t="s">
        <v>110</v>
      </c>
      <c r="AD51" t="s">
        <v>109</v>
      </c>
      <c r="AE51">
        <v>73.099999999999994</v>
      </c>
      <c r="AF51" t="s">
        <v>110</v>
      </c>
      <c r="AH51" t="s">
        <v>101</v>
      </c>
      <c r="AI51">
        <v>174.65</v>
      </c>
      <c r="AJ51">
        <v>161.21</v>
      </c>
      <c r="AK51">
        <v>5.73</v>
      </c>
      <c r="AL51">
        <v>5.29</v>
      </c>
      <c r="AN51" t="s">
        <v>107</v>
      </c>
      <c r="AO51">
        <v>14800</v>
      </c>
      <c r="AP51" t="s">
        <v>108</v>
      </c>
    </row>
    <row r="52" spans="2:42" x14ac:dyDescent="0.2">
      <c r="B52" t="s">
        <v>101</v>
      </c>
      <c r="C52">
        <v>2.2999999999999998</v>
      </c>
      <c r="D52" t="s">
        <v>102</v>
      </c>
      <c r="F52" t="s">
        <v>93</v>
      </c>
      <c r="G52">
        <v>45.6</v>
      </c>
      <c r="H52" t="s">
        <v>94</v>
      </c>
      <c r="J52" t="s">
        <v>111</v>
      </c>
      <c r="K52">
        <v>22</v>
      </c>
      <c r="L52" t="s">
        <v>112</v>
      </c>
      <c r="N52" t="s">
        <v>87</v>
      </c>
      <c r="O52">
        <v>0.92</v>
      </c>
      <c r="P52" t="s">
        <v>88</v>
      </c>
      <c r="R52" t="s">
        <v>97</v>
      </c>
      <c r="S52">
        <v>1.52</v>
      </c>
      <c r="T52" t="s">
        <v>98</v>
      </c>
      <c r="V52" t="s">
        <v>83</v>
      </c>
      <c r="W52">
        <v>43</v>
      </c>
      <c r="X52" t="s">
        <v>84</v>
      </c>
      <c r="Z52" t="s">
        <v>113</v>
      </c>
      <c r="AA52">
        <v>7.7</v>
      </c>
      <c r="AB52" t="s">
        <v>114</v>
      </c>
      <c r="AD52" t="s">
        <v>111</v>
      </c>
      <c r="AE52">
        <v>58.4</v>
      </c>
      <c r="AF52" t="s">
        <v>112</v>
      </c>
      <c r="AH52" t="s">
        <v>475</v>
      </c>
      <c r="AI52">
        <v>168.6</v>
      </c>
      <c r="AJ52">
        <v>156.30000000000001</v>
      </c>
      <c r="AK52">
        <v>5.53</v>
      </c>
      <c r="AL52">
        <v>5.13</v>
      </c>
      <c r="AN52" t="s">
        <v>109</v>
      </c>
      <c r="AO52">
        <v>8593</v>
      </c>
      <c r="AP52" t="s">
        <v>110</v>
      </c>
    </row>
    <row r="53" spans="2:42" x14ac:dyDescent="0.2">
      <c r="B53" t="s">
        <v>103</v>
      </c>
      <c r="C53">
        <v>4</v>
      </c>
      <c r="D53" t="s">
        <v>104</v>
      </c>
      <c r="F53" t="s">
        <v>95</v>
      </c>
      <c r="G53">
        <v>88.1</v>
      </c>
      <c r="H53" t="s">
        <v>96</v>
      </c>
      <c r="J53" t="s">
        <v>113</v>
      </c>
      <c r="K53">
        <v>13.8</v>
      </c>
      <c r="L53" t="s">
        <v>114</v>
      </c>
      <c r="N53" t="s">
        <v>89</v>
      </c>
      <c r="O53">
        <v>1.05</v>
      </c>
      <c r="P53" t="s">
        <v>90</v>
      </c>
      <c r="R53" t="s">
        <v>99</v>
      </c>
      <c r="S53">
        <v>0.4</v>
      </c>
      <c r="T53" t="s">
        <v>100</v>
      </c>
      <c r="V53" t="s">
        <v>85</v>
      </c>
      <c r="W53">
        <v>41.5</v>
      </c>
      <c r="X53" t="s">
        <v>86</v>
      </c>
      <c r="Z53" t="s">
        <v>115</v>
      </c>
      <c r="AA53">
        <v>67.400000000000006</v>
      </c>
      <c r="AB53" t="s">
        <v>116</v>
      </c>
      <c r="AD53" t="s">
        <v>113</v>
      </c>
      <c r="AE53">
        <v>65.900000000000006</v>
      </c>
      <c r="AF53" t="s">
        <v>114</v>
      </c>
      <c r="AH53" t="s">
        <v>105</v>
      </c>
      <c r="AI53">
        <v>167.32</v>
      </c>
      <c r="AJ53">
        <v>155.25</v>
      </c>
      <c r="AK53">
        <v>5.49</v>
      </c>
      <c r="AL53">
        <v>5.09</v>
      </c>
      <c r="AN53" t="s">
        <v>111</v>
      </c>
      <c r="AO53">
        <v>19961</v>
      </c>
      <c r="AP53" t="s">
        <v>112</v>
      </c>
    </row>
    <row r="54" spans="2:42" x14ac:dyDescent="0.2">
      <c r="B54" t="s">
        <v>105</v>
      </c>
      <c r="C54">
        <v>2.4</v>
      </c>
      <c r="D54" t="s">
        <v>106</v>
      </c>
      <c r="F54" t="s">
        <v>97</v>
      </c>
      <c r="G54">
        <v>78.099999999999994</v>
      </c>
      <c r="H54" t="s">
        <v>98</v>
      </c>
      <c r="J54" t="s">
        <v>115</v>
      </c>
      <c r="K54">
        <v>14.4</v>
      </c>
      <c r="L54" t="s">
        <v>116</v>
      </c>
      <c r="N54" t="s">
        <v>91</v>
      </c>
      <c r="O54">
        <v>0.97</v>
      </c>
      <c r="P54" t="s">
        <v>92</v>
      </c>
      <c r="R54" t="s">
        <v>101</v>
      </c>
      <c r="S54">
        <v>1.26</v>
      </c>
      <c r="T54" t="s">
        <v>102</v>
      </c>
      <c r="V54" t="s">
        <v>87</v>
      </c>
      <c r="W54">
        <v>36.1</v>
      </c>
      <c r="X54" t="s">
        <v>88</v>
      </c>
      <c r="Z54" t="s">
        <v>119</v>
      </c>
      <c r="AA54">
        <v>7.9</v>
      </c>
      <c r="AB54" t="s">
        <v>120</v>
      </c>
      <c r="AD54" t="s">
        <v>115</v>
      </c>
      <c r="AE54">
        <v>78.599999999999994</v>
      </c>
      <c r="AF54" t="s">
        <v>116</v>
      </c>
      <c r="AH54" t="s">
        <v>107</v>
      </c>
      <c r="AI54">
        <v>174.57</v>
      </c>
      <c r="AJ54">
        <v>160.88</v>
      </c>
      <c r="AK54">
        <v>5.73</v>
      </c>
      <c r="AL54">
        <v>5.28</v>
      </c>
      <c r="AN54" t="s">
        <v>113</v>
      </c>
      <c r="AO54">
        <v>1103</v>
      </c>
      <c r="AP54" t="s">
        <v>114</v>
      </c>
    </row>
    <row r="55" spans="2:42" x14ac:dyDescent="0.2">
      <c r="B55" t="s">
        <v>107</v>
      </c>
      <c r="C55">
        <v>3.3</v>
      </c>
      <c r="D55" t="s">
        <v>108</v>
      </c>
      <c r="F55" t="s">
        <v>99</v>
      </c>
      <c r="G55">
        <v>71.099999999999994</v>
      </c>
      <c r="H55" t="s">
        <v>100</v>
      </c>
      <c r="J55" t="s">
        <v>117</v>
      </c>
      <c r="K55">
        <v>16.7</v>
      </c>
      <c r="L55" t="s">
        <v>118</v>
      </c>
      <c r="N55" t="s">
        <v>95</v>
      </c>
      <c r="O55">
        <v>0.99</v>
      </c>
      <c r="P55" t="s">
        <v>96</v>
      </c>
      <c r="R55" t="s">
        <v>103</v>
      </c>
      <c r="S55">
        <v>2.88</v>
      </c>
      <c r="T55" t="s">
        <v>104</v>
      </c>
      <c r="V55" t="s">
        <v>89</v>
      </c>
      <c r="W55">
        <v>36.799999999999997</v>
      </c>
      <c r="X55" t="s">
        <v>90</v>
      </c>
      <c r="Z55" t="s">
        <v>123</v>
      </c>
      <c r="AA55">
        <v>39.1</v>
      </c>
      <c r="AB55" t="s">
        <v>124</v>
      </c>
      <c r="AD55" t="s">
        <v>117</v>
      </c>
      <c r="AE55">
        <v>59.4</v>
      </c>
      <c r="AF55" t="s">
        <v>118</v>
      </c>
      <c r="AH55" t="s">
        <v>109</v>
      </c>
      <c r="AI55">
        <v>170.67</v>
      </c>
      <c r="AJ55">
        <v>156.38999999999999</v>
      </c>
      <c r="AK55">
        <v>5.6</v>
      </c>
      <c r="AL55">
        <v>5.13</v>
      </c>
      <c r="AN55" t="s">
        <v>115</v>
      </c>
      <c r="AO55">
        <v>37606</v>
      </c>
      <c r="AP55" t="s">
        <v>116</v>
      </c>
    </row>
    <row r="56" spans="2:42" x14ac:dyDescent="0.2">
      <c r="B56" t="s">
        <v>109</v>
      </c>
      <c r="C56">
        <v>2</v>
      </c>
      <c r="D56" t="s">
        <v>110</v>
      </c>
      <c r="F56" t="s">
        <v>101</v>
      </c>
      <c r="G56">
        <v>82.5</v>
      </c>
      <c r="H56" t="s">
        <v>102</v>
      </c>
      <c r="J56" t="s">
        <v>119</v>
      </c>
      <c r="K56">
        <v>11.4</v>
      </c>
      <c r="L56" t="s">
        <v>120</v>
      </c>
      <c r="N56" t="s">
        <v>97</v>
      </c>
      <c r="O56">
        <v>0.83</v>
      </c>
      <c r="P56" t="s">
        <v>98</v>
      </c>
      <c r="R56" t="s">
        <v>105</v>
      </c>
      <c r="S56">
        <v>1.6</v>
      </c>
      <c r="T56" t="s">
        <v>106</v>
      </c>
      <c r="V56" t="s">
        <v>91</v>
      </c>
      <c r="W56">
        <v>42.1</v>
      </c>
      <c r="X56" t="s">
        <v>92</v>
      </c>
      <c r="Z56" t="s">
        <v>125</v>
      </c>
      <c r="AA56">
        <v>67.400000000000006</v>
      </c>
      <c r="AB56" t="s">
        <v>126</v>
      </c>
      <c r="AD56" t="s">
        <v>119</v>
      </c>
      <c r="AE56">
        <v>66.2</v>
      </c>
      <c r="AF56" t="s">
        <v>120</v>
      </c>
      <c r="AH56" t="s">
        <v>111</v>
      </c>
      <c r="AI56">
        <v>168.18</v>
      </c>
      <c r="AJ56">
        <v>158.05000000000001</v>
      </c>
      <c r="AK56">
        <v>5.52</v>
      </c>
      <c r="AL56">
        <v>5.19</v>
      </c>
      <c r="AN56" t="s">
        <v>117</v>
      </c>
      <c r="AO56">
        <v>11139</v>
      </c>
      <c r="AP56" t="s">
        <v>118</v>
      </c>
    </row>
    <row r="57" spans="2:42" x14ac:dyDescent="0.2">
      <c r="B57" t="s">
        <v>111</v>
      </c>
      <c r="C57">
        <v>4.5</v>
      </c>
      <c r="D57" t="s">
        <v>112</v>
      </c>
      <c r="F57" t="s">
        <v>103</v>
      </c>
      <c r="G57">
        <v>31.3</v>
      </c>
      <c r="H57" t="s">
        <v>104</v>
      </c>
      <c r="J57" t="s">
        <v>123</v>
      </c>
      <c r="K57">
        <v>5.5</v>
      </c>
      <c r="L57" t="s">
        <v>124</v>
      </c>
      <c r="N57" t="s">
        <v>99</v>
      </c>
      <c r="O57">
        <v>1.02</v>
      </c>
      <c r="P57" t="s">
        <v>100</v>
      </c>
      <c r="R57" t="s">
        <v>107</v>
      </c>
      <c r="S57">
        <v>1.66</v>
      </c>
      <c r="T57" t="s">
        <v>108</v>
      </c>
      <c r="V57" t="s">
        <v>95</v>
      </c>
      <c r="W57">
        <v>42.2</v>
      </c>
      <c r="X57" t="s">
        <v>96</v>
      </c>
      <c r="Z57" t="s">
        <v>461</v>
      </c>
      <c r="AA57">
        <v>77.599999999999994</v>
      </c>
      <c r="AD57" t="s">
        <v>123</v>
      </c>
      <c r="AE57">
        <v>67.3</v>
      </c>
      <c r="AF57" t="s">
        <v>124</v>
      </c>
      <c r="AH57" t="s">
        <v>113</v>
      </c>
      <c r="AI57">
        <v>170.6</v>
      </c>
      <c r="AJ57">
        <v>157.58000000000001</v>
      </c>
      <c r="AK57">
        <v>5.6</v>
      </c>
      <c r="AL57">
        <v>5.17</v>
      </c>
      <c r="AN57" t="s">
        <v>119</v>
      </c>
      <c r="AO57">
        <v>2702</v>
      </c>
      <c r="AP57" t="s">
        <v>120</v>
      </c>
    </row>
    <row r="58" spans="2:42" x14ac:dyDescent="0.2">
      <c r="B58" t="s">
        <v>113</v>
      </c>
      <c r="C58">
        <v>4.0999999999999996</v>
      </c>
      <c r="D58" t="s">
        <v>114</v>
      </c>
      <c r="F58" t="s">
        <v>105</v>
      </c>
      <c r="G58">
        <v>64.2</v>
      </c>
      <c r="H58" t="s">
        <v>106</v>
      </c>
      <c r="J58" t="s">
        <v>125</v>
      </c>
      <c r="K58">
        <v>11.7</v>
      </c>
      <c r="L58" t="s">
        <v>126</v>
      </c>
      <c r="N58" t="s">
        <v>101</v>
      </c>
      <c r="O58">
        <v>1.02</v>
      </c>
      <c r="P58" t="s">
        <v>102</v>
      </c>
      <c r="R58" t="s">
        <v>109</v>
      </c>
      <c r="S58">
        <v>0.66</v>
      </c>
      <c r="T58" t="s">
        <v>110</v>
      </c>
      <c r="V58" t="s">
        <v>97</v>
      </c>
      <c r="W58">
        <v>23.9</v>
      </c>
      <c r="X58" t="s">
        <v>98</v>
      </c>
      <c r="Z58" t="s">
        <v>127</v>
      </c>
      <c r="AA58">
        <v>101.1</v>
      </c>
      <c r="AB58" t="s">
        <v>128</v>
      </c>
      <c r="AD58" t="s">
        <v>125</v>
      </c>
      <c r="AE58">
        <v>81.7</v>
      </c>
      <c r="AF58" t="s">
        <v>126</v>
      </c>
      <c r="AH58" t="s">
        <v>115</v>
      </c>
      <c r="AI58">
        <v>182.79</v>
      </c>
      <c r="AJ58">
        <v>168.66</v>
      </c>
      <c r="AK58">
        <v>6</v>
      </c>
      <c r="AL58">
        <v>5.53</v>
      </c>
      <c r="AN58" t="s">
        <v>123</v>
      </c>
      <c r="AO58">
        <v>12689</v>
      </c>
      <c r="AP58" t="s">
        <v>124</v>
      </c>
    </row>
    <row r="59" spans="2:42" x14ac:dyDescent="0.2">
      <c r="B59" t="s">
        <v>115</v>
      </c>
      <c r="C59">
        <v>1.7</v>
      </c>
      <c r="D59" t="s">
        <v>116</v>
      </c>
      <c r="F59" t="s">
        <v>107</v>
      </c>
      <c r="G59">
        <v>42.8</v>
      </c>
      <c r="H59" t="s">
        <v>108</v>
      </c>
      <c r="J59" t="s">
        <v>127</v>
      </c>
      <c r="K59">
        <v>12.1</v>
      </c>
      <c r="L59" t="s">
        <v>128</v>
      </c>
      <c r="N59" t="s">
        <v>105</v>
      </c>
      <c r="O59">
        <v>0.99</v>
      </c>
      <c r="P59" t="s">
        <v>106</v>
      </c>
      <c r="R59" t="s">
        <v>111</v>
      </c>
      <c r="S59">
        <v>2.8</v>
      </c>
      <c r="T59" t="s">
        <v>112</v>
      </c>
      <c r="V59" t="s">
        <v>99</v>
      </c>
      <c r="W59">
        <v>33.5</v>
      </c>
      <c r="X59" t="s">
        <v>100</v>
      </c>
      <c r="Z59" t="s">
        <v>462</v>
      </c>
      <c r="AA59">
        <v>13.2</v>
      </c>
      <c r="AB59" t="s">
        <v>463</v>
      </c>
      <c r="AD59" t="s">
        <v>127</v>
      </c>
      <c r="AE59">
        <v>82.5</v>
      </c>
      <c r="AF59" t="s">
        <v>128</v>
      </c>
      <c r="AH59" t="s">
        <v>117</v>
      </c>
      <c r="AI59">
        <v>169.41</v>
      </c>
      <c r="AJ59">
        <v>158.91999999999999</v>
      </c>
      <c r="AK59">
        <v>5.56</v>
      </c>
      <c r="AL59">
        <v>5.21</v>
      </c>
      <c r="AN59" t="s">
        <v>125</v>
      </c>
      <c r="AO59">
        <v>49548</v>
      </c>
      <c r="AP59" t="s">
        <v>126</v>
      </c>
    </row>
    <row r="60" spans="2:42" x14ac:dyDescent="0.2">
      <c r="B60" t="s">
        <v>117</v>
      </c>
      <c r="C60">
        <v>3</v>
      </c>
      <c r="D60" t="s">
        <v>118</v>
      </c>
      <c r="F60" t="s">
        <v>109</v>
      </c>
      <c r="G60">
        <v>73.400000000000006</v>
      </c>
      <c r="H60" t="s">
        <v>110</v>
      </c>
      <c r="J60" t="s">
        <v>131</v>
      </c>
      <c r="K60">
        <v>9.6</v>
      </c>
      <c r="L60" t="s">
        <v>132</v>
      </c>
      <c r="N60" t="s">
        <v>107</v>
      </c>
      <c r="O60">
        <v>1.05</v>
      </c>
      <c r="P60" t="s">
        <v>108</v>
      </c>
      <c r="R60" t="s">
        <v>113</v>
      </c>
      <c r="S60">
        <v>3.28</v>
      </c>
      <c r="T60" t="s">
        <v>114</v>
      </c>
      <c r="V60" t="s">
        <v>101</v>
      </c>
      <c r="W60">
        <v>28.1</v>
      </c>
      <c r="X60" t="s">
        <v>102</v>
      </c>
      <c r="Z60" t="s">
        <v>129</v>
      </c>
      <c r="AA60">
        <v>112.2</v>
      </c>
      <c r="AB60" t="s">
        <v>130</v>
      </c>
      <c r="AD60" t="s">
        <v>131</v>
      </c>
      <c r="AE60">
        <v>66.2</v>
      </c>
      <c r="AF60" t="s">
        <v>132</v>
      </c>
      <c r="AH60" t="s">
        <v>119</v>
      </c>
      <c r="AI60">
        <v>168.84</v>
      </c>
      <c r="AJ60">
        <v>157.15</v>
      </c>
      <c r="AK60">
        <v>5.54</v>
      </c>
      <c r="AL60">
        <v>5.16</v>
      </c>
      <c r="AN60" t="s">
        <v>127</v>
      </c>
      <c r="AO60">
        <v>48640</v>
      </c>
      <c r="AP60" t="s">
        <v>128</v>
      </c>
    </row>
    <row r="61" spans="2:42" x14ac:dyDescent="0.2">
      <c r="B61" t="s">
        <v>119</v>
      </c>
      <c r="C61">
        <v>4.2</v>
      </c>
      <c r="D61" t="s">
        <v>120</v>
      </c>
      <c r="F61" t="s">
        <v>111</v>
      </c>
      <c r="G61">
        <v>73.099999999999994</v>
      </c>
      <c r="H61" t="s">
        <v>112</v>
      </c>
      <c r="J61" t="s">
        <v>133</v>
      </c>
      <c r="K61">
        <v>6.7</v>
      </c>
      <c r="L61" t="s">
        <v>134</v>
      </c>
      <c r="N61" t="s">
        <v>109</v>
      </c>
      <c r="O61">
        <v>0.92</v>
      </c>
      <c r="P61" t="s">
        <v>110</v>
      </c>
      <c r="R61" t="s">
        <v>115</v>
      </c>
      <c r="S61">
        <v>-0.04</v>
      </c>
      <c r="T61" t="s">
        <v>116</v>
      </c>
      <c r="V61" t="s">
        <v>105</v>
      </c>
      <c r="W61">
        <v>27.7</v>
      </c>
      <c r="X61" t="s">
        <v>106</v>
      </c>
      <c r="Z61" t="s">
        <v>131</v>
      </c>
      <c r="AA61">
        <v>46</v>
      </c>
      <c r="AB61" t="s">
        <v>132</v>
      </c>
      <c r="AD61" t="s">
        <v>133</v>
      </c>
      <c r="AE61">
        <v>73.599999999999994</v>
      </c>
      <c r="AF61" t="s">
        <v>134</v>
      </c>
      <c r="AH61" t="s">
        <v>123</v>
      </c>
      <c r="AI61">
        <v>173.98</v>
      </c>
      <c r="AJ61">
        <v>164.28</v>
      </c>
      <c r="AK61">
        <v>5.71</v>
      </c>
      <c r="AL61">
        <v>5.39</v>
      </c>
      <c r="AN61" t="s">
        <v>131</v>
      </c>
      <c r="AO61">
        <v>19839</v>
      </c>
      <c r="AP61" t="s">
        <v>132</v>
      </c>
    </row>
    <row r="62" spans="2:42" x14ac:dyDescent="0.2">
      <c r="B62" t="s">
        <v>121</v>
      </c>
      <c r="C62">
        <v>2.5</v>
      </c>
      <c r="D62" t="s">
        <v>122</v>
      </c>
      <c r="F62" t="s">
        <v>113</v>
      </c>
      <c r="G62">
        <v>41.3</v>
      </c>
      <c r="H62" t="s">
        <v>114</v>
      </c>
      <c r="J62" t="s">
        <v>135</v>
      </c>
      <c r="K62">
        <v>9.1</v>
      </c>
      <c r="L62" t="s">
        <v>136</v>
      </c>
      <c r="N62" t="s">
        <v>111</v>
      </c>
      <c r="O62">
        <v>1</v>
      </c>
      <c r="P62" t="s">
        <v>112</v>
      </c>
      <c r="R62" t="s">
        <v>117</v>
      </c>
      <c r="S62">
        <v>1.54</v>
      </c>
      <c r="T62" t="s">
        <v>118</v>
      </c>
      <c r="V62" t="s">
        <v>107</v>
      </c>
      <c r="W62">
        <v>23.9</v>
      </c>
      <c r="X62" t="s">
        <v>108</v>
      </c>
      <c r="Z62" t="s">
        <v>133</v>
      </c>
      <c r="AA62">
        <v>26</v>
      </c>
      <c r="AB62" t="s">
        <v>134</v>
      </c>
      <c r="AD62" t="s">
        <v>135</v>
      </c>
      <c r="AE62">
        <v>81.2</v>
      </c>
      <c r="AF62" t="s">
        <v>136</v>
      </c>
      <c r="AH62" t="s">
        <v>125</v>
      </c>
      <c r="AI62">
        <v>180.57</v>
      </c>
      <c r="AJ62">
        <v>166.48</v>
      </c>
      <c r="AK62">
        <v>5.92</v>
      </c>
      <c r="AL62">
        <v>5.46</v>
      </c>
      <c r="AN62" t="s">
        <v>133</v>
      </c>
      <c r="AO62">
        <v>13200</v>
      </c>
      <c r="AP62" t="s">
        <v>134</v>
      </c>
    </row>
    <row r="63" spans="2:42" x14ac:dyDescent="0.2">
      <c r="B63" t="s">
        <v>123</v>
      </c>
      <c r="C63">
        <v>2.8</v>
      </c>
      <c r="D63" t="s">
        <v>124</v>
      </c>
      <c r="F63" t="s">
        <v>115</v>
      </c>
      <c r="G63">
        <v>69.2</v>
      </c>
      <c r="H63" t="s">
        <v>116</v>
      </c>
      <c r="J63" t="s">
        <v>137</v>
      </c>
      <c r="K63">
        <v>8.6999999999999993</v>
      </c>
      <c r="L63" t="s">
        <v>138</v>
      </c>
      <c r="N63" t="s">
        <v>113</v>
      </c>
      <c r="O63">
        <v>0.97</v>
      </c>
      <c r="P63" t="s">
        <v>114</v>
      </c>
      <c r="R63" t="s">
        <v>119</v>
      </c>
      <c r="S63">
        <v>2.58</v>
      </c>
      <c r="T63" t="s">
        <v>120</v>
      </c>
      <c r="V63" t="s">
        <v>109</v>
      </c>
      <c r="W63">
        <v>27.1</v>
      </c>
      <c r="X63" t="s">
        <v>110</v>
      </c>
      <c r="Z63" t="s">
        <v>135</v>
      </c>
      <c r="AA63">
        <v>82.1</v>
      </c>
      <c r="AB63" t="s">
        <v>136</v>
      </c>
      <c r="AD63" t="s">
        <v>137</v>
      </c>
      <c r="AE63">
        <v>63.8</v>
      </c>
      <c r="AF63" t="s">
        <v>138</v>
      </c>
      <c r="AH63" t="s">
        <v>127</v>
      </c>
      <c r="AI63">
        <v>178.6</v>
      </c>
      <c r="AJ63">
        <v>164.49</v>
      </c>
      <c r="AK63">
        <v>5.86</v>
      </c>
      <c r="AL63">
        <v>5.4</v>
      </c>
      <c r="AN63" t="s">
        <v>135</v>
      </c>
      <c r="AO63">
        <v>55306</v>
      </c>
      <c r="AP63" t="s">
        <v>136</v>
      </c>
    </row>
    <row r="64" spans="2:42" x14ac:dyDescent="0.2">
      <c r="B64" t="s">
        <v>125</v>
      </c>
      <c r="C64">
        <v>1.4</v>
      </c>
      <c r="D64" t="s">
        <v>126</v>
      </c>
      <c r="F64" t="s">
        <v>117</v>
      </c>
      <c r="G64">
        <v>24.2</v>
      </c>
      <c r="H64" t="s">
        <v>118</v>
      </c>
      <c r="J64" t="s">
        <v>139</v>
      </c>
      <c r="K64">
        <v>3.8</v>
      </c>
      <c r="L64" t="s">
        <v>140</v>
      </c>
      <c r="N64" t="s">
        <v>115</v>
      </c>
      <c r="O64">
        <v>0.88</v>
      </c>
      <c r="P64" t="s">
        <v>116</v>
      </c>
      <c r="R64" t="s">
        <v>123</v>
      </c>
      <c r="S64">
        <v>0.78</v>
      </c>
      <c r="T64" t="s">
        <v>124</v>
      </c>
      <c r="V64" t="s">
        <v>111</v>
      </c>
      <c r="W64">
        <v>19.8</v>
      </c>
      <c r="X64" t="s">
        <v>112</v>
      </c>
      <c r="Z64" t="s">
        <v>137</v>
      </c>
      <c r="AA64">
        <v>9.9</v>
      </c>
      <c r="AB64" t="s">
        <v>138</v>
      </c>
      <c r="AD64" t="s">
        <v>139</v>
      </c>
      <c r="AE64">
        <v>82.1</v>
      </c>
      <c r="AF64" t="s">
        <v>140</v>
      </c>
      <c r="AH64" t="s">
        <v>129</v>
      </c>
      <c r="AI64">
        <v>178.32</v>
      </c>
      <c r="AJ64">
        <v>166.52</v>
      </c>
      <c r="AK64">
        <v>5.85</v>
      </c>
      <c r="AL64">
        <v>5.46</v>
      </c>
      <c r="AN64" t="s">
        <v>137</v>
      </c>
      <c r="AO64">
        <v>7343</v>
      </c>
      <c r="AP64" t="s">
        <v>138</v>
      </c>
    </row>
    <row r="65" spans="2:42" x14ac:dyDescent="0.2">
      <c r="B65" t="s">
        <v>127</v>
      </c>
      <c r="C65">
        <v>1.9</v>
      </c>
      <c r="D65" t="s">
        <v>128</v>
      </c>
      <c r="F65" t="s">
        <v>119</v>
      </c>
      <c r="G65">
        <v>21.7</v>
      </c>
      <c r="H65" t="s">
        <v>120</v>
      </c>
      <c r="J65" t="s">
        <v>141</v>
      </c>
      <c r="K65">
        <v>11.3</v>
      </c>
      <c r="L65" t="s">
        <v>142</v>
      </c>
      <c r="N65" t="s">
        <v>117</v>
      </c>
      <c r="O65">
        <v>0.9</v>
      </c>
      <c r="P65" t="s">
        <v>118</v>
      </c>
      <c r="R65" t="s">
        <v>125</v>
      </c>
      <c r="S65">
        <v>0.48</v>
      </c>
      <c r="T65" t="s">
        <v>126</v>
      </c>
      <c r="V65" t="s">
        <v>113</v>
      </c>
      <c r="W65">
        <v>19.7</v>
      </c>
      <c r="X65" t="s">
        <v>114</v>
      </c>
      <c r="Z65" t="s">
        <v>139</v>
      </c>
      <c r="AA65">
        <v>78.7</v>
      </c>
      <c r="AB65" t="s">
        <v>140</v>
      </c>
      <c r="AD65" t="s">
        <v>141</v>
      </c>
      <c r="AE65">
        <v>71.25</v>
      </c>
      <c r="AF65" t="s">
        <v>142</v>
      </c>
      <c r="AH65" t="s">
        <v>131</v>
      </c>
      <c r="AI65">
        <v>170.48</v>
      </c>
      <c r="AJ65">
        <v>160.05000000000001</v>
      </c>
      <c r="AK65">
        <v>5.59</v>
      </c>
      <c r="AL65">
        <v>5.25</v>
      </c>
      <c r="AN65" t="s">
        <v>139</v>
      </c>
      <c r="AO65">
        <v>31616</v>
      </c>
      <c r="AP65" t="s">
        <v>140</v>
      </c>
    </row>
    <row r="66" spans="2:42" x14ac:dyDescent="0.2">
      <c r="B66" t="s">
        <v>129</v>
      </c>
      <c r="C66">
        <v>1.9</v>
      </c>
      <c r="D66" t="s">
        <v>130</v>
      </c>
      <c r="F66" t="s">
        <v>121</v>
      </c>
      <c r="G66">
        <v>42.4</v>
      </c>
      <c r="H66" t="s">
        <v>122</v>
      </c>
      <c r="J66" t="s">
        <v>143</v>
      </c>
      <c r="K66">
        <v>1.7</v>
      </c>
      <c r="L66" t="s">
        <v>144</v>
      </c>
      <c r="N66" t="s">
        <v>119</v>
      </c>
      <c r="O66">
        <v>1</v>
      </c>
      <c r="P66" t="s">
        <v>120</v>
      </c>
      <c r="R66" t="s">
        <v>127</v>
      </c>
      <c r="S66">
        <v>0.5</v>
      </c>
      <c r="T66" t="s">
        <v>128</v>
      </c>
      <c r="V66" t="s">
        <v>115</v>
      </c>
      <c r="W66">
        <v>42.7</v>
      </c>
      <c r="X66" t="s">
        <v>116</v>
      </c>
      <c r="Z66" t="s">
        <v>141</v>
      </c>
      <c r="AA66">
        <v>63.4</v>
      </c>
      <c r="AB66" t="s">
        <v>142</v>
      </c>
      <c r="AD66" t="s">
        <v>143</v>
      </c>
      <c r="AE66">
        <v>72.400000000000006</v>
      </c>
      <c r="AF66" t="s">
        <v>144</v>
      </c>
      <c r="AH66" t="s">
        <v>476</v>
      </c>
      <c r="AI66">
        <v>168.36</v>
      </c>
      <c r="AJ66">
        <v>161.72999999999999</v>
      </c>
      <c r="AK66">
        <v>5.52</v>
      </c>
      <c r="AL66">
        <v>5.31</v>
      </c>
      <c r="AN66" t="s">
        <v>141</v>
      </c>
      <c r="AO66">
        <v>48182</v>
      </c>
      <c r="AP66" t="s">
        <v>142</v>
      </c>
    </row>
    <row r="67" spans="2:42" x14ac:dyDescent="0.2">
      <c r="B67" t="s">
        <v>131</v>
      </c>
      <c r="C67">
        <v>4</v>
      </c>
      <c r="D67" t="s">
        <v>132</v>
      </c>
      <c r="F67" t="s">
        <v>123</v>
      </c>
      <c r="G67">
        <v>57.2</v>
      </c>
      <c r="H67" t="s">
        <v>124</v>
      </c>
      <c r="J67" t="s">
        <v>147</v>
      </c>
      <c r="K67">
        <v>2.9</v>
      </c>
      <c r="L67" t="s">
        <v>148</v>
      </c>
      <c r="N67" t="s">
        <v>121</v>
      </c>
      <c r="O67">
        <v>1.08</v>
      </c>
      <c r="P67" t="s">
        <v>122</v>
      </c>
      <c r="R67" t="s">
        <v>129</v>
      </c>
      <c r="S67">
        <v>1.08</v>
      </c>
      <c r="T67" t="s">
        <v>130</v>
      </c>
      <c r="V67" t="s">
        <v>117</v>
      </c>
      <c r="W67">
        <v>21.7</v>
      </c>
      <c r="X67" t="s">
        <v>118</v>
      </c>
      <c r="Z67" t="s">
        <v>143</v>
      </c>
      <c r="AA67">
        <v>97</v>
      </c>
      <c r="AB67" t="s">
        <v>144</v>
      </c>
      <c r="AD67" t="s">
        <v>147</v>
      </c>
      <c r="AE67">
        <v>74.099999999999994</v>
      </c>
      <c r="AF67" t="s">
        <v>148</v>
      </c>
      <c r="AH67" t="s">
        <v>133</v>
      </c>
      <c r="AI67">
        <v>175.98</v>
      </c>
      <c r="AJ67">
        <v>163.24</v>
      </c>
      <c r="AK67">
        <v>5.77</v>
      </c>
      <c r="AL67">
        <v>5.36</v>
      </c>
      <c r="AN67" t="s">
        <v>143</v>
      </c>
      <c r="AO67">
        <v>17434</v>
      </c>
      <c r="AP67" t="s">
        <v>144</v>
      </c>
    </row>
    <row r="68" spans="2:42" x14ac:dyDescent="0.2">
      <c r="B68" t="s">
        <v>133</v>
      </c>
      <c r="C68">
        <v>2.1</v>
      </c>
      <c r="D68" t="s">
        <v>134</v>
      </c>
      <c r="F68" t="s">
        <v>125</v>
      </c>
      <c r="G68">
        <v>85.5</v>
      </c>
      <c r="H68" t="s">
        <v>126</v>
      </c>
      <c r="J68" t="s">
        <v>149</v>
      </c>
      <c r="K68">
        <v>10.5</v>
      </c>
      <c r="L68" t="s">
        <v>150</v>
      </c>
      <c r="N68" t="s">
        <v>123</v>
      </c>
      <c r="O68">
        <v>1.03</v>
      </c>
      <c r="P68" t="s">
        <v>124</v>
      </c>
      <c r="R68" t="s">
        <v>131</v>
      </c>
      <c r="S68">
        <v>2.39</v>
      </c>
      <c r="T68" t="s">
        <v>132</v>
      </c>
      <c r="V68" t="s">
        <v>119</v>
      </c>
      <c r="W68">
        <v>17.899999999999999</v>
      </c>
      <c r="X68" t="s">
        <v>120</v>
      </c>
      <c r="Z68" t="s">
        <v>464</v>
      </c>
      <c r="AA68">
        <v>12.7</v>
      </c>
      <c r="AB68" t="s">
        <v>465</v>
      </c>
      <c r="AD68" t="s">
        <v>149</v>
      </c>
      <c r="AE68">
        <v>61.2</v>
      </c>
      <c r="AF68" t="s">
        <v>150</v>
      </c>
      <c r="AH68" t="s">
        <v>135</v>
      </c>
      <c r="AI68">
        <v>180.28</v>
      </c>
      <c r="AJ68">
        <v>166.18</v>
      </c>
      <c r="AK68">
        <v>5.91</v>
      </c>
      <c r="AL68">
        <v>5.45</v>
      </c>
      <c r="AN68" t="s">
        <v>147</v>
      </c>
      <c r="AO68">
        <v>9009</v>
      </c>
      <c r="AP68" t="s">
        <v>148</v>
      </c>
    </row>
    <row r="69" spans="2:42" x14ac:dyDescent="0.2">
      <c r="B69" t="s">
        <v>135</v>
      </c>
      <c r="C69">
        <v>1.6</v>
      </c>
      <c r="D69" t="s">
        <v>136</v>
      </c>
      <c r="F69" t="s">
        <v>127</v>
      </c>
      <c r="G69">
        <v>81</v>
      </c>
      <c r="H69" t="s">
        <v>128</v>
      </c>
      <c r="J69" t="s">
        <v>149</v>
      </c>
      <c r="K69">
        <v>7.4</v>
      </c>
      <c r="L69" t="s">
        <v>150</v>
      </c>
      <c r="N69" t="s">
        <v>125</v>
      </c>
      <c r="O69">
        <v>0.97</v>
      </c>
      <c r="P69" t="s">
        <v>126</v>
      </c>
      <c r="R69" t="s">
        <v>133</v>
      </c>
      <c r="S69">
        <v>0.63</v>
      </c>
      <c r="T69" t="s">
        <v>134</v>
      </c>
      <c r="V69" t="s">
        <v>121</v>
      </c>
      <c r="W69">
        <v>37.6</v>
      </c>
      <c r="X69" t="s">
        <v>122</v>
      </c>
      <c r="Z69" t="s">
        <v>145</v>
      </c>
      <c r="AA69">
        <v>52.6</v>
      </c>
      <c r="AB69" t="s">
        <v>146</v>
      </c>
      <c r="AD69" t="s">
        <v>149</v>
      </c>
      <c r="AE69">
        <v>58</v>
      </c>
      <c r="AF69" t="s">
        <v>150</v>
      </c>
      <c r="AH69" t="s">
        <v>137</v>
      </c>
      <c r="AI69">
        <v>170.3</v>
      </c>
      <c r="AJ69">
        <v>158.86000000000001</v>
      </c>
      <c r="AK69">
        <v>5.59</v>
      </c>
      <c r="AL69">
        <v>5.21</v>
      </c>
      <c r="AN69" t="s">
        <v>149</v>
      </c>
      <c r="AO69">
        <v>2574</v>
      </c>
      <c r="AP69" t="s">
        <v>150</v>
      </c>
    </row>
    <row r="70" spans="2:42" x14ac:dyDescent="0.2">
      <c r="B70" t="s">
        <v>137</v>
      </c>
      <c r="C70">
        <v>3.9</v>
      </c>
      <c r="D70" t="s">
        <v>138</v>
      </c>
      <c r="F70" t="s">
        <v>129</v>
      </c>
      <c r="G70">
        <v>62</v>
      </c>
      <c r="H70" t="s">
        <v>130</v>
      </c>
      <c r="J70" t="s">
        <v>151</v>
      </c>
      <c r="K70">
        <v>30.2</v>
      </c>
      <c r="L70" t="s">
        <v>152</v>
      </c>
      <c r="N70" t="s">
        <v>127</v>
      </c>
      <c r="O70">
        <v>0.96</v>
      </c>
      <c r="P70" t="s">
        <v>128</v>
      </c>
      <c r="R70" t="s">
        <v>135</v>
      </c>
      <c r="S70">
        <v>0.11</v>
      </c>
      <c r="T70" t="s">
        <v>136</v>
      </c>
      <c r="V70" t="s">
        <v>123</v>
      </c>
      <c r="W70">
        <v>28.9</v>
      </c>
      <c r="X70" t="s">
        <v>124</v>
      </c>
      <c r="Z70" t="s">
        <v>147</v>
      </c>
      <c r="AA70">
        <v>23.8</v>
      </c>
      <c r="AB70" t="s">
        <v>148</v>
      </c>
      <c r="AD70" t="s">
        <v>151</v>
      </c>
      <c r="AE70">
        <v>69.8</v>
      </c>
      <c r="AF70" t="s">
        <v>152</v>
      </c>
      <c r="AH70" t="s">
        <v>139</v>
      </c>
      <c r="AI70">
        <v>179.26</v>
      </c>
      <c r="AJ70">
        <v>165.81</v>
      </c>
      <c r="AK70">
        <v>5.88</v>
      </c>
      <c r="AL70">
        <v>5.44</v>
      </c>
      <c r="AN70" t="s">
        <v>149</v>
      </c>
      <c r="AO70">
        <v>2113</v>
      </c>
      <c r="AP70" t="s">
        <v>150</v>
      </c>
    </row>
    <row r="71" spans="2:42" x14ac:dyDescent="0.2">
      <c r="B71" t="s">
        <v>139</v>
      </c>
      <c r="C71">
        <v>1.4</v>
      </c>
      <c r="D71" t="s">
        <v>140</v>
      </c>
      <c r="F71" t="s">
        <v>131</v>
      </c>
      <c r="G71">
        <v>90.1</v>
      </c>
      <c r="H71" t="s">
        <v>132</v>
      </c>
      <c r="J71" t="s">
        <v>153</v>
      </c>
      <c r="K71">
        <v>12.2</v>
      </c>
      <c r="L71" t="s">
        <v>154</v>
      </c>
      <c r="N71" t="s">
        <v>129</v>
      </c>
      <c r="O71">
        <v>1.05</v>
      </c>
      <c r="P71" t="s">
        <v>130</v>
      </c>
      <c r="R71" t="s">
        <v>137</v>
      </c>
      <c r="S71">
        <v>2.17</v>
      </c>
      <c r="T71" t="s">
        <v>138</v>
      </c>
      <c r="V71" t="s">
        <v>125</v>
      </c>
      <c r="W71">
        <v>42.5</v>
      </c>
      <c r="X71" t="s">
        <v>126</v>
      </c>
      <c r="Z71" t="s">
        <v>149</v>
      </c>
      <c r="AA71">
        <v>6.5</v>
      </c>
      <c r="AB71" t="s">
        <v>150</v>
      </c>
      <c r="AD71" t="s">
        <v>153</v>
      </c>
      <c r="AE71">
        <v>63.7</v>
      </c>
      <c r="AF71" t="s">
        <v>154</v>
      </c>
      <c r="AH71" t="s">
        <v>141</v>
      </c>
      <c r="AI71">
        <v>173.84</v>
      </c>
      <c r="AJ71">
        <v>161.4</v>
      </c>
      <c r="AK71">
        <v>5.7</v>
      </c>
      <c r="AL71">
        <v>5.3</v>
      </c>
      <c r="AN71" t="s">
        <v>151</v>
      </c>
      <c r="AO71">
        <v>17163</v>
      </c>
      <c r="AP71" t="s">
        <v>152</v>
      </c>
    </row>
    <row r="72" spans="2:42" x14ac:dyDescent="0.2">
      <c r="B72" t="s">
        <v>141</v>
      </c>
      <c r="C72">
        <v>2</v>
      </c>
      <c r="D72" t="s">
        <v>142</v>
      </c>
      <c r="F72" t="s">
        <v>133</v>
      </c>
      <c r="G72">
        <v>59.5</v>
      </c>
      <c r="H72" t="s">
        <v>134</v>
      </c>
      <c r="J72" t="s">
        <v>155</v>
      </c>
      <c r="K72">
        <v>3.4</v>
      </c>
      <c r="L72" t="s">
        <v>156</v>
      </c>
      <c r="N72" t="s">
        <v>131</v>
      </c>
      <c r="O72">
        <v>1.08</v>
      </c>
      <c r="P72" t="s">
        <v>132</v>
      </c>
      <c r="R72" t="s">
        <v>139</v>
      </c>
      <c r="S72">
        <v>-0.18</v>
      </c>
      <c r="T72" t="s">
        <v>140</v>
      </c>
      <c r="V72" t="s">
        <v>127</v>
      </c>
      <c r="W72">
        <v>41.4</v>
      </c>
      <c r="X72" t="s">
        <v>128</v>
      </c>
      <c r="Z72" t="s">
        <v>149</v>
      </c>
      <c r="AA72">
        <v>13</v>
      </c>
      <c r="AB72" t="s">
        <v>150</v>
      </c>
      <c r="AD72" t="s">
        <v>155</v>
      </c>
      <c r="AE72">
        <v>75.099999999999994</v>
      </c>
      <c r="AF72" t="s">
        <v>156</v>
      </c>
      <c r="AH72" t="s">
        <v>143</v>
      </c>
      <c r="AI72">
        <v>178.7</v>
      </c>
      <c r="AJ72">
        <v>165.99</v>
      </c>
      <c r="AK72">
        <v>5.86</v>
      </c>
      <c r="AL72">
        <v>5.45</v>
      </c>
      <c r="AN72" t="s">
        <v>153</v>
      </c>
      <c r="AO72">
        <v>1916</v>
      </c>
      <c r="AP72" t="s">
        <v>154</v>
      </c>
    </row>
    <row r="73" spans="2:42" x14ac:dyDescent="0.2">
      <c r="B73" t="s">
        <v>143</v>
      </c>
      <c r="C73">
        <v>2.1</v>
      </c>
      <c r="D73" t="s">
        <v>144</v>
      </c>
      <c r="F73" t="s">
        <v>135</v>
      </c>
      <c r="G73">
        <v>77.5</v>
      </c>
      <c r="H73" t="s">
        <v>136</v>
      </c>
      <c r="J73" t="s">
        <v>159</v>
      </c>
      <c r="K73">
        <v>13.6</v>
      </c>
      <c r="L73" t="s">
        <v>160</v>
      </c>
      <c r="N73" t="s">
        <v>359</v>
      </c>
      <c r="O73">
        <v>0.98</v>
      </c>
      <c r="P73" t="s">
        <v>360</v>
      </c>
      <c r="R73" t="s">
        <v>141</v>
      </c>
      <c r="S73">
        <v>-0.11</v>
      </c>
      <c r="T73" t="s">
        <v>142</v>
      </c>
      <c r="V73" t="s">
        <v>129</v>
      </c>
      <c r="W73">
        <v>31.9</v>
      </c>
      <c r="X73" t="s">
        <v>130</v>
      </c>
      <c r="Z73" t="s">
        <v>151</v>
      </c>
      <c r="AA73">
        <v>31.8</v>
      </c>
      <c r="AB73" t="s">
        <v>152</v>
      </c>
      <c r="AD73" t="s">
        <v>157</v>
      </c>
      <c r="AE73">
        <v>84.7</v>
      </c>
      <c r="AF73" t="s">
        <v>158</v>
      </c>
      <c r="AH73" t="s">
        <v>147</v>
      </c>
      <c r="AI73">
        <v>164.36</v>
      </c>
      <c r="AJ73">
        <v>150.91</v>
      </c>
      <c r="AK73">
        <v>5.39</v>
      </c>
      <c r="AL73">
        <v>4.95</v>
      </c>
      <c r="AN73" t="s">
        <v>155</v>
      </c>
      <c r="AO73">
        <v>5600</v>
      </c>
      <c r="AP73" t="s">
        <v>156</v>
      </c>
    </row>
    <row r="74" spans="2:42" x14ac:dyDescent="0.2">
      <c r="B74" t="s">
        <v>145</v>
      </c>
      <c r="C74">
        <v>2.2999999999999998</v>
      </c>
      <c r="D74" t="s">
        <v>146</v>
      </c>
      <c r="F74" t="s">
        <v>137</v>
      </c>
      <c r="G74">
        <v>57.3</v>
      </c>
      <c r="H74" t="s">
        <v>138</v>
      </c>
      <c r="J74" t="s">
        <v>161</v>
      </c>
      <c r="K74">
        <v>13.3</v>
      </c>
      <c r="L74" t="s">
        <v>162</v>
      </c>
      <c r="N74" t="s">
        <v>452</v>
      </c>
      <c r="O74">
        <v>1.02</v>
      </c>
      <c r="R74" t="s">
        <v>143</v>
      </c>
      <c r="S74">
        <v>0.39</v>
      </c>
      <c r="T74" t="s">
        <v>144</v>
      </c>
      <c r="V74" t="s">
        <v>131</v>
      </c>
      <c r="W74">
        <v>18.600000000000001</v>
      </c>
      <c r="X74" t="s">
        <v>132</v>
      </c>
      <c r="Z74" t="s">
        <v>153</v>
      </c>
      <c r="AA74">
        <v>15.3</v>
      </c>
      <c r="AB74" t="s">
        <v>154</v>
      </c>
      <c r="AD74" t="s">
        <v>159</v>
      </c>
      <c r="AE74">
        <v>76.7</v>
      </c>
      <c r="AF74" t="s">
        <v>160</v>
      </c>
      <c r="AH74" t="s">
        <v>149</v>
      </c>
      <c r="AI74">
        <v>170.7</v>
      </c>
      <c r="AJ74">
        <v>158.75</v>
      </c>
      <c r="AK74">
        <v>5.6</v>
      </c>
      <c r="AL74">
        <v>5.21</v>
      </c>
      <c r="AN74" t="s">
        <v>157</v>
      </c>
      <c r="AO74">
        <v>66527</v>
      </c>
      <c r="AP74" t="s">
        <v>158</v>
      </c>
    </row>
    <row r="75" spans="2:42" x14ac:dyDescent="0.2">
      <c r="B75" t="s">
        <v>147</v>
      </c>
      <c r="C75">
        <v>2.9</v>
      </c>
      <c r="D75" t="s">
        <v>148</v>
      </c>
      <c r="F75" t="s">
        <v>410</v>
      </c>
      <c r="G75">
        <v>100</v>
      </c>
      <c r="H75" t="s">
        <v>411</v>
      </c>
      <c r="J75" t="s">
        <v>163</v>
      </c>
      <c r="K75">
        <v>16.5</v>
      </c>
      <c r="L75" t="s">
        <v>164</v>
      </c>
      <c r="N75" t="s">
        <v>133</v>
      </c>
      <c r="O75">
        <v>0.92</v>
      </c>
      <c r="P75" t="s">
        <v>134</v>
      </c>
      <c r="R75" t="s">
        <v>145</v>
      </c>
      <c r="S75">
        <v>1.21</v>
      </c>
      <c r="T75" t="s">
        <v>146</v>
      </c>
      <c r="V75" t="s">
        <v>359</v>
      </c>
      <c r="W75">
        <v>21</v>
      </c>
      <c r="X75" t="s">
        <v>360</v>
      </c>
      <c r="Z75" t="s">
        <v>155</v>
      </c>
      <c r="AA75">
        <v>24.7</v>
      </c>
      <c r="AB75" t="s">
        <v>156</v>
      </c>
      <c r="AD75" t="s">
        <v>161</v>
      </c>
      <c r="AE75">
        <v>82.9</v>
      </c>
      <c r="AF75" t="s">
        <v>162</v>
      </c>
      <c r="AH75" t="s">
        <v>477</v>
      </c>
      <c r="AI75">
        <v>168.17</v>
      </c>
      <c r="AJ75">
        <v>158.72</v>
      </c>
      <c r="AK75">
        <v>5.52</v>
      </c>
      <c r="AL75">
        <v>5.21</v>
      </c>
      <c r="AN75" t="s">
        <v>159</v>
      </c>
      <c r="AO75">
        <v>35941</v>
      </c>
      <c r="AP75" t="s">
        <v>160</v>
      </c>
    </row>
    <row r="76" spans="2:42" x14ac:dyDescent="0.2">
      <c r="B76" t="s">
        <v>149</v>
      </c>
      <c r="C76">
        <v>4.7</v>
      </c>
      <c r="D76" t="s">
        <v>150</v>
      </c>
      <c r="F76" t="s">
        <v>139</v>
      </c>
      <c r="G76">
        <v>79.7</v>
      </c>
      <c r="H76" t="s">
        <v>140</v>
      </c>
      <c r="J76" t="s">
        <v>165</v>
      </c>
      <c r="K76">
        <v>3.7</v>
      </c>
      <c r="L76" t="s">
        <v>166</v>
      </c>
      <c r="N76" t="s">
        <v>135</v>
      </c>
      <c r="O76">
        <v>0.96</v>
      </c>
      <c r="P76" t="s">
        <v>136</v>
      </c>
      <c r="R76" t="s">
        <v>147</v>
      </c>
      <c r="S76">
        <v>2.5299999999999998</v>
      </c>
      <c r="T76" t="s">
        <v>148</v>
      </c>
      <c r="V76" t="s">
        <v>133</v>
      </c>
      <c r="W76">
        <v>38.1</v>
      </c>
      <c r="X76" t="s">
        <v>134</v>
      </c>
      <c r="Z76" t="s">
        <v>159</v>
      </c>
      <c r="AA76">
        <v>100.7</v>
      </c>
      <c r="AB76" t="s">
        <v>160</v>
      </c>
      <c r="AD76" t="s">
        <v>163</v>
      </c>
      <c r="AE76">
        <v>69.400000000000006</v>
      </c>
      <c r="AF76" t="s">
        <v>164</v>
      </c>
      <c r="AH76" t="s">
        <v>151</v>
      </c>
      <c r="AI76">
        <v>172.15</v>
      </c>
      <c r="AJ76">
        <v>159.57</v>
      </c>
      <c r="AK76">
        <v>5.65</v>
      </c>
      <c r="AL76">
        <v>5.24</v>
      </c>
      <c r="AN76" t="s">
        <v>161</v>
      </c>
      <c r="AO76">
        <v>56974</v>
      </c>
      <c r="AP76" t="s">
        <v>162</v>
      </c>
    </row>
    <row r="77" spans="2:42" x14ac:dyDescent="0.2">
      <c r="B77" t="s">
        <v>149</v>
      </c>
      <c r="C77">
        <v>4.5</v>
      </c>
      <c r="D77" t="s">
        <v>150</v>
      </c>
      <c r="F77" t="s">
        <v>141</v>
      </c>
      <c r="G77">
        <v>87.3</v>
      </c>
      <c r="H77" t="s">
        <v>142</v>
      </c>
      <c r="J77" t="s">
        <v>167</v>
      </c>
      <c r="K77">
        <v>4</v>
      </c>
      <c r="L77" t="s">
        <v>168</v>
      </c>
      <c r="N77" t="s">
        <v>137</v>
      </c>
      <c r="O77">
        <v>0.97</v>
      </c>
      <c r="P77" t="s">
        <v>138</v>
      </c>
      <c r="R77" t="s">
        <v>149</v>
      </c>
      <c r="S77">
        <v>2.56</v>
      </c>
      <c r="T77" t="s">
        <v>150</v>
      </c>
      <c r="V77" t="s">
        <v>135</v>
      </c>
      <c r="W77">
        <v>47.1</v>
      </c>
      <c r="X77" t="s">
        <v>136</v>
      </c>
      <c r="Z77" t="s">
        <v>161</v>
      </c>
      <c r="AA77">
        <v>84.8</v>
      </c>
      <c r="AB77" t="s">
        <v>162</v>
      </c>
      <c r="AD77" t="s">
        <v>165</v>
      </c>
      <c r="AE77">
        <v>71.5</v>
      </c>
      <c r="AF77" t="s">
        <v>166</v>
      </c>
      <c r="AH77" t="s">
        <v>153</v>
      </c>
      <c r="AI77">
        <v>172.23</v>
      </c>
      <c r="AJ77">
        <v>160.58000000000001</v>
      </c>
      <c r="AK77">
        <v>5.65</v>
      </c>
      <c r="AL77">
        <v>5.27</v>
      </c>
      <c r="AN77" t="s">
        <v>163</v>
      </c>
      <c r="AO77">
        <v>9027</v>
      </c>
      <c r="AP77" t="s">
        <v>164</v>
      </c>
    </row>
    <row r="78" spans="2:42" x14ac:dyDescent="0.2">
      <c r="B78" t="s">
        <v>151</v>
      </c>
      <c r="C78">
        <v>2.5</v>
      </c>
      <c r="D78" t="s">
        <v>152</v>
      </c>
      <c r="F78" t="s">
        <v>143</v>
      </c>
      <c r="G78">
        <v>36.5</v>
      </c>
      <c r="H78" t="s">
        <v>144</v>
      </c>
      <c r="J78" t="s">
        <v>169</v>
      </c>
      <c r="K78">
        <v>4.0999999999999996</v>
      </c>
      <c r="L78" t="s">
        <v>170</v>
      </c>
      <c r="N78" t="s">
        <v>410</v>
      </c>
      <c r="O78">
        <v>1.01</v>
      </c>
      <c r="P78" t="s">
        <v>411</v>
      </c>
      <c r="R78" t="s">
        <v>149</v>
      </c>
      <c r="S78">
        <v>2.39</v>
      </c>
      <c r="T78" t="s">
        <v>150</v>
      </c>
      <c r="V78" t="s">
        <v>137</v>
      </c>
      <c r="W78">
        <v>21.1</v>
      </c>
      <c r="X78" t="s">
        <v>138</v>
      </c>
      <c r="Z78" t="s">
        <v>163</v>
      </c>
      <c r="AA78">
        <v>5.2</v>
      </c>
      <c r="AB78" t="s">
        <v>164</v>
      </c>
      <c r="AD78" t="s">
        <v>167</v>
      </c>
      <c r="AE78">
        <v>76.5</v>
      </c>
      <c r="AF78" t="s">
        <v>168</v>
      </c>
      <c r="AH78" t="s">
        <v>155</v>
      </c>
      <c r="AI78">
        <v>169.59</v>
      </c>
      <c r="AJ78">
        <v>155.18</v>
      </c>
      <c r="AK78">
        <v>5.56</v>
      </c>
      <c r="AL78">
        <v>5.09</v>
      </c>
      <c r="AN78" t="s">
        <v>165</v>
      </c>
      <c r="AO78">
        <v>14841</v>
      </c>
      <c r="AP78" t="s">
        <v>166</v>
      </c>
    </row>
    <row r="79" spans="2:42" x14ac:dyDescent="0.2">
      <c r="B79" t="s">
        <v>153</v>
      </c>
      <c r="C79">
        <v>2.9</v>
      </c>
      <c r="D79" t="s">
        <v>154</v>
      </c>
      <c r="F79" t="s">
        <v>145</v>
      </c>
      <c r="G79">
        <v>94.9</v>
      </c>
      <c r="H79" t="s">
        <v>146</v>
      </c>
      <c r="J79" t="s">
        <v>171</v>
      </c>
      <c r="K79">
        <v>10.9</v>
      </c>
      <c r="L79" t="s">
        <v>172</v>
      </c>
      <c r="N79" t="s">
        <v>139</v>
      </c>
      <c r="O79">
        <v>0.95</v>
      </c>
      <c r="P79" t="s">
        <v>140</v>
      </c>
      <c r="R79" t="s">
        <v>151</v>
      </c>
      <c r="S79">
        <v>0.56999999999999995</v>
      </c>
      <c r="T79" t="s">
        <v>152</v>
      </c>
      <c r="V79" t="s">
        <v>410</v>
      </c>
      <c r="W79">
        <v>34.700000000000003</v>
      </c>
      <c r="X79" t="s">
        <v>411</v>
      </c>
      <c r="Z79" t="s">
        <v>165</v>
      </c>
      <c r="AA79">
        <v>8.3000000000000007</v>
      </c>
      <c r="AB79" t="s">
        <v>166</v>
      </c>
      <c r="AD79" t="s">
        <v>169</v>
      </c>
      <c r="AE79">
        <v>70.5</v>
      </c>
      <c r="AF79" t="s">
        <v>170</v>
      </c>
      <c r="AH79" t="s">
        <v>157</v>
      </c>
      <c r="AI79">
        <v>174.83</v>
      </c>
      <c r="AJ79">
        <v>160.62</v>
      </c>
      <c r="AK79">
        <v>5.74</v>
      </c>
      <c r="AL79">
        <v>5.27</v>
      </c>
      <c r="AN79" t="s">
        <v>167</v>
      </c>
      <c r="AO79">
        <v>17832</v>
      </c>
      <c r="AP79" t="s">
        <v>168</v>
      </c>
    </row>
    <row r="80" spans="2:42" x14ac:dyDescent="0.2">
      <c r="B80" t="s">
        <v>155</v>
      </c>
      <c r="C80">
        <v>2.5</v>
      </c>
      <c r="D80" t="s">
        <v>156</v>
      </c>
      <c r="F80" t="s">
        <v>147</v>
      </c>
      <c r="G80">
        <v>51.8</v>
      </c>
      <c r="H80" t="s">
        <v>148</v>
      </c>
      <c r="J80" t="s">
        <v>175</v>
      </c>
      <c r="K80">
        <v>5.2</v>
      </c>
      <c r="L80" t="s">
        <v>176</v>
      </c>
      <c r="N80" t="s">
        <v>141</v>
      </c>
      <c r="O80">
        <v>1.08</v>
      </c>
      <c r="P80" t="s">
        <v>142</v>
      </c>
      <c r="R80" t="s">
        <v>153</v>
      </c>
      <c r="S80">
        <v>1.39</v>
      </c>
      <c r="T80" t="s">
        <v>154</v>
      </c>
      <c r="V80" t="s">
        <v>139</v>
      </c>
      <c r="W80">
        <v>44.5</v>
      </c>
      <c r="X80" t="s">
        <v>140</v>
      </c>
      <c r="Z80" t="s">
        <v>167</v>
      </c>
      <c r="AA80">
        <v>23.1</v>
      </c>
      <c r="AB80" t="s">
        <v>168</v>
      </c>
      <c r="AD80" t="s">
        <v>171</v>
      </c>
      <c r="AE80">
        <v>82.1</v>
      </c>
      <c r="AF80" t="s">
        <v>172</v>
      </c>
      <c r="AH80" t="s">
        <v>159</v>
      </c>
      <c r="AI80">
        <v>176.59</v>
      </c>
      <c r="AJ80">
        <v>162.55000000000001</v>
      </c>
      <c r="AK80">
        <v>5.79</v>
      </c>
      <c r="AL80">
        <v>5.33</v>
      </c>
      <c r="AN80" t="s">
        <v>169</v>
      </c>
      <c r="AO80">
        <v>18755</v>
      </c>
      <c r="AP80" t="s">
        <v>170</v>
      </c>
    </row>
    <row r="81" spans="2:42" x14ac:dyDescent="0.2">
      <c r="B81" t="s">
        <v>157</v>
      </c>
      <c r="C81">
        <v>1.1000000000000001</v>
      </c>
      <c r="D81" t="s">
        <v>158</v>
      </c>
      <c r="F81" t="s">
        <v>440</v>
      </c>
      <c r="G81">
        <v>31</v>
      </c>
      <c r="H81" t="s">
        <v>441</v>
      </c>
      <c r="J81" t="s">
        <v>177</v>
      </c>
      <c r="K81">
        <v>5.5</v>
      </c>
      <c r="L81" t="s">
        <v>178</v>
      </c>
      <c r="N81" t="s">
        <v>143</v>
      </c>
      <c r="O81">
        <v>1.03</v>
      </c>
      <c r="P81" t="s">
        <v>144</v>
      </c>
      <c r="R81" t="s">
        <v>155</v>
      </c>
      <c r="S81">
        <v>2.0299999999999998</v>
      </c>
      <c r="T81" t="s">
        <v>156</v>
      </c>
      <c r="V81" t="s">
        <v>141</v>
      </c>
      <c r="W81">
        <v>33.9</v>
      </c>
      <c r="X81" t="s">
        <v>142</v>
      </c>
      <c r="Z81" t="s">
        <v>169</v>
      </c>
      <c r="AA81">
        <v>18.2</v>
      </c>
      <c r="AB81" t="s">
        <v>170</v>
      </c>
      <c r="AD81" t="s">
        <v>175</v>
      </c>
      <c r="AE81">
        <v>82.8</v>
      </c>
      <c r="AF81" t="s">
        <v>176</v>
      </c>
      <c r="AH81" t="s">
        <v>161</v>
      </c>
      <c r="AI81">
        <v>182.1</v>
      </c>
      <c r="AJ81">
        <v>168.91</v>
      </c>
      <c r="AK81">
        <v>5.97</v>
      </c>
      <c r="AL81">
        <v>5.54</v>
      </c>
      <c r="AN81" t="s">
        <v>171</v>
      </c>
      <c r="AO81">
        <v>86988</v>
      </c>
      <c r="AP81" t="s">
        <v>172</v>
      </c>
    </row>
    <row r="82" spans="2:42" x14ac:dyDescent="0.2">
      <c r="B82" t="s">
        <v>159</v>
      </c>
      <c r="C82">
        <v>1.6</v>
      </c>
      <c r="D82" t="s">
        <v>160</v>
      </c>
      <c r="F82" t="s">
        <v>149</v>
      </c>
      <c r="G82">
        <v>44.2</v>
      </c>
      <c r="H82" t="s">
        <v>150</v>
      </c>
      <c r="J82" t="s">
        <v>179</v>
      </c>
      <c r="K82">
        <v>23</v>
      </c>
      <c r="L82" t="s">
        <v>180</v>
      </c>
      <c r="N82" t="s">
        <v>145</v>
      </c>
      <c r="O82">
        <v>1.06</v>
      </c>
      <c r="P82" t="s">
        <v>146</v>
      </c>
      <c r="R82" t="s">
        <v>157</v>
      </c>
      <c r="S82">
        <v>1.17</v>
      </c>
      <c r="T82" t="s">
        <v>158</v>
      </c>
      <c r="V82" t="s">
        <v>143</v>
      </c>
      <c r="W82">
        <v>31.5</v>
      </c>
      <c r="X82" t="s">
        <v>144</v>
      </c>
      <c r="Z82" t="s">
        <v>171</v>
      </c>
      <c r="AA82">
        <v>106.3</v>
      </c>
      <c r="AB82" t="s">
        <v>172</v>
      </c>
      <c r="AD82" t="s">
        <v>177</v>
      </c>
      <c r="AE82">
        <v>83.6</v>
      </c>
      <c r="AF82" t="s">
        <v>178</v>
      </c>
      <c r="AH82" t="s">
        <v>163</v>
      </c>
      <c r="AI82">
        <v>166.5</v>
      </c>
      <c r="AJ82">
        <v>155.18</v>
      </c>
      <c r="AK82">
        <v>5.46</v>
      </c>
      <c r="AL82">
        <v>5.09</v>
      </c>
      <c r="AN82" t="s">
        <v>175</v>
      </c>
      <c r="AO82">
        <v>40337</v>
      </c>
      <c r="AP82" t="s">
        <v>176</v>
      </c>
    </row>
    <row r="83" spans="2:42" x14ac:dyDescent="0.2">
      <c r="B83" t="s">
        <v>161</v>
      </c>
      <c r="C83">
        <v>1.7</v>
      </c>
      <c r="D83" t="s">
        <v>162</v>
      </c>
      <c r="F83" t="s">
        <v>149</v>
      </c>
      <c r="G83">
        <v>36.5</v>
      </c>
      <c r="H83" t="s">
        <v>150</v>
      </c>
      <c r="J83" t="s">
        <v>181</v>
      </c>
      <c r="K83">
        <v>2</v>
      </c>
      <c r="L83" t="s">
        <v>182</v>
      </c>
      <c r="N83" t="s">
        <v>147</v>
      </c>
      <c r="O83">
        <v>0.99</v>
      </c>
      <c r="P83" t="s">
        <v>148</v>
      </c>
      <c r="R83" t="s">
        <v>159</v>
      </c>
      <c r="S83">
        <v>-0.28000000000000003</v>
      </c>
      <c r="T83" t="s">
        <v>160</v>
      </c>
      <c r="V83" t="s">
        <v>145</v>
      </c>
      <c r="W83">
        <v>29</v>
      </c>
      <c r="X83" t="s">
        <v>146</v>
      </c>
      <c r="Z83" t="s">
        <v>175</v>
      </c>
      <c r="AA83">
        <v>97.1</v>
      </c>
      <c r="AB83" t="s">
        <v>176</v>
      </c>
      <c r="AD83" t="s">
        <v>179</v>
      </c>
      <c r="AE83">
        <v>57.4</v>
      </c>
      <c r="AF83" t="s">
        <v>180</v>
      </c>
      <c r="AH83" t="s">
        <v>165</v>
      </c>
      <c r="AI83">
        <v>166.26</v>
      </c>
      <c r="AJ83">
        <v>154.36000000000001</v>
      </c>
      <c r="AK83">
        <v>5.45</v>
      </c>
      <c r="AL83">
        <v>5.0599999999999996</v>
      </c>
      <c r="AN83" t="s">
        <v>177</v>
      </c>
      <c r="AO83">
        <v>41582</v>
      </c>
      <c r="AP83" t="s">
        <v>178</v>
      </c>
    </row>
    <row r="84" spans="2:42" x14ac:dyDescent="0.2">
      <c r="B84" t="s">
        <v>163</v>
      </c>
      <c r="C84">
        <v>2.2000000000000002</v>
      </c>
      <c r="D84" t="s">
        <v>164</v>
      </c>
      <c r="F84" t="s">
        <v>151</v>
      </c>
      <c r="G84">
        <v>26.8</v>
      </c>
      <c r="H84" t="s">
        <v>152</v>
      </c>
      <c r="J84" t="s">
        <v>183</v>
      </c>
      <c r="K84">
        <v>14.3</v>
      </c>
      <c r="L84" t="s">
        <v>184</v>
      </c>
      <c r="N84" t="s">
        <v>440</v>
      </c>
      <c r="O84">
        <v>0.99</v>
      </c>
      <c r="P84" t="s">
        <v>441</v>
      </c>
      <c r="R84" t="s">
        <v>161</v>
      </c>
      <c r="S84">
        <v>0.35</v>
      </c>
      <c r="T84" t="s">
        <v>162</v>
      </c>
      <c r="V84" t="s">
        <v>147</v>
      </c>
      <c r="W84">
        <v>22.1</v>
      </c>
      <c r="X84" t="s">
        <v>148</v>
      </c>
      <c r="Z84" t="s">
        <v>177</v>
      </c>
      <c r="AA84">
        <v>90.4</v>
      </c>
      <c r="AB84" t="s">
        <v>178</v>
      </c>
      <c r="AD84" t="s">
        <v>181</v>
      </c>
      <c r="AE84">
        <v>74.400000000000006</v>
      </c>
      <c r="AF84" t="s">
        <v>182</v>
      </c>
      <c r="AH84" t="s">
        <v>167</v>
      </c>
      <c r="AI84">
        <v>175.62</v>
      </c>
      <c r="AJ84">
        <v>161.18</v>
      </c>
      <c r="AK84">
        <v>5.76</v>
      </c>
      <c r="AL84">
        <v>5.29</v>
      </c>
      <c r="AN84" t="s">
        <v>179</v>
      </c>
      <c r="AO84">
        <v>4754</v>
      </c>
      <c r="AP84" t="s">
        <v>180</v>
      </c>
    </row>
    <row r="85" spans="2:42" x14ac:dyDescent="0.2">
      <c r="B85" t="s">
        <v>165</v>
      </c>
      <c r="C85">
        <v>2.2999999999999998</v>
      </c>
      <c r="D85" t="s">
        <v>166</v>
      </c>
      <c r="F85" t="s">
        <v>153</v>
      </c>
      <c r="G85">
        <v>57.1</v>
      </c>
      <c r="H85" t="s">
        <v>154</v>
      </c>
      <c r="J85" t="s">
        <v>185</v>
      </c>
      <c r="K85">
        <v>3.7</v>
      </c>
      <c r="L85" t="s">
        <v>186</v>
      </c>
      <c r="N85" t="s">
        <v>149</v>
      </c>
      <c r="O85">
        <v>1</v>
      </c>
      <c r="P85" t="s">
        <v>150</v>
      </c>
      <c r="R85" t="s">
        <v>163</v>
      </c>
      <c r="S85">
        <v>1.26</v>
      </c>
      <c r="T85" t="s">
        <v>164</v>
      </c>
      <c r="V85" t="s">
        <v>440</v>
      </c>
      <c r="W85">
        <v>43.8</v>
      </c>
      <c r="X85" t="s">
        <v>441</v>
      </c>
      <c r="Z85" t="s">
        <v>179</v>
      </c>
      <c r="AA85">
        <v>11.3</v>
      </c>
      <c r="AB85" t="s">
        <v>180</v>
      </c>
      <c r="AD85" t="s">
        <v>183</v>
      </c>
      <c r="AE85">
        <v>84.5</v>
      </c>
      <c r="AF85" t="s">
        <v>184</v>
      </c>
      <c r="AH85" t="s">
        <v>169</v>
      </c>
      <c r="AI85">
        <v>173.79</v>
      </c>
      <c r="AJ85">
        <v>158.75</v>
      </c>
      <c r="AK85">
        <v>5.7</v>
      </c>
      <c r="AL85">
        <v>5.21</v>
      </c>
      <c r="AN85" t="s">
        <v>181</v>
      </c>
      <c r="AO85">
        <v>9932</v>
      </c>
      <c r="AP85" t="s">
        <v>182</v>
      </c>
    </row>
    <row r="86" spans="2:42" x14ac:dyDescent="0.2">
      <c r="B86" t="s">
        <v>167</v>
      </c>
      <c r="C86">
        <v>2.9</v>
      </c>
      <c r="D86" t="s">
        <v>168</v>
      </c>
      <c r="F86" t="s">
        <v>155</v>
      </c>
      <c r="G86">
        <v>58.4</v>
      </c>
      <c r="H86" t="s">
        <v>156</v>
      </c>
      <c r="J86" t="s">
        <v>187</v>
      </c>
      <c r="K86">
        <v>22.8</v>
      </c>
      <c r="L86" t="s">
        <v>188</v>
      </c>
      <c r="N86" t="s">
        <v>149</v>
      </c>
      <c r="O86">
        <v>0.95</v>
      </c>
      <c r="P86" t="s">
        <v>150</v>
      </c>
      <c r="R86" t="s">
        <v>165</v>
      </c>
      <c r="S86">
        <v>1.25</v>
      </c>
      <c r="T86" t="s">
        <v>166</v>
      </c>
      <c r="V86" t="s">
        <v>149</v>
      </c>
      <c r="W86">
        <v>20.100000000000001</v>
      </c>
      <c r="X86" t="s">
        <v>150</v>
      </c>
      <c r="Z86" t="s">
        <v>181</v>
      </c>
      <c r="AA86">
        <v>56.8</v>
      </c>
      <c r="AB86" t="s">
        <v>182</v>
      </c>
      <c r="AD86" t="s">
        <v>185</v>
      </c>
      <c r="AE86">
        <v>74.400000000000006</v>
      </c>
      <c r="AF86" t="s">
        <v>186</v>
      </c>
      <c r="AH86" t="s">
        <v>171</v>
      </c>
      <c r="AI86">
        <v>179.04</v>
      </c>
      <c r="AJ86">
        <v>164.5</v>
      </c>
      <c r="AK86">
        <v>5.87</v>
      </c>
      <c r="AL86">
        <v>5.4</v>
      </c>
      <c r="AN86" t="s">
        <v>183</v>
      </c>
      <c r="AO86">
        <v>46827</v>
      </c>
      <c r="AP86" t="s">
        <v>184</v>
      </c>
    </row>
    <row r="87" spans="2:42" x14ac:dyDescent="0.2">
      <c r="B87" t="s">
        <v>169</v>
      </c>
      <c r="C87">
        <v>3.7</v>
      </c>
      <c r="D87" t="s">
        <v>170</v>
      </c>
      <c r="F87" t="s">
        <v>157</v>
      </c>
      <c r="G87">
        <v>100</v>
      </c>
      <c r="H87" t="s">
        <v>158</v>
      </c>
      <c r="J87" t="s">
        <v>189</v>
      </c>
      <c r="K87">
        <v>5.6</v>
      </c>
      <c r="L87" t="s">
        <v>190</v>
      </c>
      <c r="N87" t="s">
        <v>151</v>
      </c>
      <c r="O87">
        <v>1.02</v>
      </c>
      <c r="P87" t="s">
        <v>152</v>
      </c>
      <c r="R87" t="s">
        <v>167</v>
      </c>
      <c r="S87">
        <v>1.32</v>
      </c>
      <c r="T87" t="s">
        <v>168</v>
      </c>
      <c r="V87" t="s">
        <v>149</v>
      </c>
      <c r="W87">
        <v>18.899999999999999</v>
      </c>
      <c r="X87" t="s">
        <v>150</v>
      </c>
      <c r="Z87" t="s">
        <v>183</v>
      </c>
      <c r="AA87">
        <v>45.9</v>
      </c>
      <c r="AB87" t="s">
        <v>184</v>
      </c>
      <c r="AD87" t="s">
        <v>187</v>
      </c>
      <c r="AE87">
        <v>73.2</v>
      </c>
      <c r="AF87" t="s">
        <v>188</v>
      </c>
      <c r="AH87" t="s">
        <v>175</v>
      </c>
      <c r="AI87">
        <v>175.98</v>
      </c>
      <c r="AJ87">
        <v>162.22</v>
      </c>
      <c r="AK87">
        <v>5.77</v>
      </c>
      <c r="AL87">
        <v>5.32</v>
      </c>
      <c r="AN87" t="s">
        <v>185</v>
      </c>
      <c r="AO87">
        <v>9939</v>
      </c>
      <c r="AP87" t="s">
        <v>186</v>
      </c>
    </row>
    <row r="88" spans="2:42" x14ac:dyDescent="0.2">
      <c r="B88" t="s">
        <v>171</v>
      </c>
      <c r="C88">
        <v>1.8</v>
      </c>
      <c r="D88" t="s">
        <v>172</v>
      </c>
      <c r="F88" t="s">
        <v>159</v>
      </c>
      <c r="G88">
        <v>71.900000000000006</v>
      </c>
      <c r="H88" t="s">
        <v>160</v>
      </c>
      <c r="J88" t="s">
        <v>191</v>
      </c>
      <c r="K88">
        <v>15.2</v>
      </c>
      <c r="L88" t="s">
        <v>192</v>
      </c>
      <c r="N88" t="s">
        <v>153</v>
      </c>
      <c r="O88">
        <v>0.98</v>
      </c>
      <c r="P88" t="s">
        <v>154</v>
      </c>
      <c r="R88" t="s">
        <v>169</v>
      </c>
      <c r="S88">
        <v>2.54</v>
      </c>
      <c r="T88" t="s">
        <v>170</v>
      </c>
      <c r="V88" t="s">
        <v>151</v>
      </c>
      <c r="W88">
        <v>26.2</v>
      </c>
      <c r="X88" t="s">
        <v>152</v>
      </c>
      <c r="Z88" t="s">
        <v>185</v>
      </c>
      <c r="AA88">
        <v>29.8</v>
      </c>
      <c r="AB88" t="s">
        <v>186</v>
      </c>
      <c r="AD88" t="s">
        <v>189</v>
      </c>
      <c r="AE88">
        <v>63.3</v>
      </c>
      <c r="AF88" t="s">
        <v>190</v>
      </c>
      <c r="AH88" t="s">
        <v>177</v>
      </c>
      <c r="AI88">
        <v>174.42</v>
      </c>
      <c r="AJ88">
        <v>161.81</v>
      </c>
      <c r="AK88">
        <v>5.72</v>
      </c>
      <c r="AL88">
        <v>5.31</v>
      </c>
      <c r="AN88" t="s">
        <v>187</v>
      </c>
      <c r="AO88">
        <v>30178</v>
      </c>
      <c r="AP88" t="s">
        <v>188</v>
      </c>
    </row>
    <row r="89" spans="2:42" x14ac:dyDescent="0.2">
      <c r="B89" t="s">
        <v>173</v>
      </c>
      <c r="C89">
        <v>1.6</v>
      </c>
      <c r="D89" t="s">
        <v>174</v>
      </c>
      <c r="F89" t="s">
        <v>161</v>
      </c>
      <c r="G89">
        <v>93.9</v>
      </c>
      <c r="H89" t="s">
        <v>162</v>
      </c>
      <c r="J89" t="s">
        <v>193</v>
      </c>
      <c r="K89">
        <v>2.2000000000000002</v>
      </c>
      <c r="L89" t="s">
        <v>194</v>
      </c>
      <c r="N89" t="s">
        <v>155</v>
      </c>
      <c r="O89">
        <v>0.95</v>
      </c>
      <c r="P89" t="s">
        <v>156</v>
      </c>
      <c r="R89" t="s">
        <v>171</v>
      </c>
      <c r="S89">
        <v>0.26</v>
      </c>
      <c r="T89" t="s">
        <v>172</v>
      </c>
      <c r="V89" t="s">
        <v>153</v>
      </c>
      <c r="W89">
        <v>23</v>
      </c>
      <c r="X89" t="s">
        <v>154</v>
      </c>
      <c r="Z89" t="s">
        <v>187</v>
      </c>
      <c r="AA89">
        <v>44.8</v>
      </c>
      <c r="AB89" t="s">
        <v>188</v>
      </c>
      <c r="AD89" t="s">
        <v>191</v>
      </c>
      <c r="AE89">
        <v>68.099999999999994</v>
      </c>
      <c r="AF89" t="s">
        <v>192</v>
      </c>
      <c r="AH89" t="s">
        <v>179</v>
      </c>
      <c r="AI89">
        <v>168.23</v>
      </c>
      <c r="AJ89">
        <v>158.65</v>
      </c>
      <c r="AK89">
        <v>5.52</v>
      </c>
      <c r="AL89">
        <v>5.21</v>
      </c>
      <c r="AN89" t="s">
        <v>189</v>
      </c>
      <c r="AO89">
        <v>4078</v>
      </c>
      <c r="AP89" t="s">
        <v>190</v>
      </c>
    </row>
    <row r="90" spans="2:42" x14ac:dyDescent="0.2">
      <c r="B90" t="s">
        <v>175</v>
      </c>
      <c r="C90">
        <v>2.4</v>
      </c>
      <c r="D90" t="s">
        <v>176</v>
      </c>
      <c r="F90" t="s">
        <v>163</v>
      </c>
      <c r="G90">
        <v>34.9</v>
      </c>
      <c r="H90" t="s">
        <v>164</v>
      </c>
      <c r="J90" t="s">
        <v>195</v>
      </c>
      <c r="K90">
        <v>9.1</v>
      </c>
      <c r="L90" t="s">
        <v>196</v>
      </c>
      <c r="N90" t="s">
        <v>157</v>
      </c>
      <c r="O90">
        <v>0.86</v>
      </c>
      <c r="P90" t="s">
        <v>158</v>
      </c>
      <c r="R90" t="s">
        <v>173</v>
      </c>
      <c r="S90">
        <v>0.74</v>
      </c>
      <c r="T90" t="s">
        <v>174</v>
      </c>
      <c r="V90" t="s">
        <v>155</v>
      </c>
      <c r="W90">
        <v>23</v>
      </c>
      <c r="X90" t="s">
        <v>156</v>
      </c>
      <c r="Z90" t="s">
        <v>189</v>
      </c>
      <c r="AA90">
        <v>14.3</v>
      </c>
      <c r="AB90" t="s">
        <v>190</v>
      </c>
      <c r="AD90" t="s">
        <v>193</v>
      </c>
      <c r="AE90">
        <v>75.400000000000006</v>
      </c>
      <c r="AF90" t="s">
        <v>194</v>
      </c>
      <c r="AH90" t="s">
        <v>181</v>
      </c>
      <c r="AI90">
        <v>176.97</v>
      </c>
      <c r="AJ90">
        <v>164.32</v>
      </c>
      <c r="AK90">
        <v>5.81</v>
      </c>
      <c r="AL90">
        <v>5.39</v>
      </c>
      <c r="AN90" t="s">
        <v>191</v>
      </c>
      <c r="AO90">
        <v>2193</v>
      </c>
      <c r="AP90" t="s">
        <v>192</v>
      </c>
    </row>
    <row r="91" spans="2:42" x14ac:dyDescent="0.2">
      <c r="B91" t="s">
        <v>177</v>
      </c>
      <c r="C91">
        <v>1.3</v>
      </c>
      <c r="D91" t="s">
        <v>178</v>
      </c>
      <c r="F91" t="s">
        <v>165</v>
      </c>
      <c r="G91">
        <v>56.6</v>
      </c>
      <c r="H91" t="s">
        <v>166</v>
      </c>
      <c r="J91" t="s">
        <v>197</v>
      </c>
      <c r="K91">
        <v>9.3000000000000007</v>
      </c>
      <c r="L91" t="s">
        <v>198</v>
      </c>
      <c r="N91" t="s">
        <v>159</v>
      </c>
      <c r="O91">
        <v>0.91</v>
      </c>
      <c r="P91" t="s">
        <v>160</v>
      </c>
      <c r="R91" t="s">
        <v>175</v>
      </c>
      <c r="S91">
        <v>1.81</v>
      </c>
      <c r="T91" t="s">
        <v>176</v>
      </c>
      <c r="V91" t="s">
        <v>157</v>
      </c>
      <c r="W91">
        <v>44.4</v>
      </c>
      <c r="X91" t="s">
        <v>158</v>
      </c>
      <c r="Z91" t="s">
        <v>191</v>
      </c>
      <c r="AA91">
        <v>32.1</v>
      </c>
      <c r="AB91" t="s">
        <v>192</v>
      </c>
      <c r="AD91" t="s">
        <v>195</v>
      </c>
      <c r="AE91">
        <v>71.3</v>
      </c>
      <c r="AF91" t="s">
        <v>196</v>
      </c>
      <c r="AH91" t="s">
        <v>183</v>
      </c>
      <c r="AI91">
        <v>172.06</v>
      </c>
      <c r="AJ91">
        <v>158.5</v>
      </c>
      <c r="AK91">
        <v>5.65</v>
      </c>
      <c r="AL91">
        <v>5.2</v>
      </c>
      <c r="AN91" t="s">
        <v>193</v>
      </c>
      <c r="AO91">
        <v>67891</v>
      </c>
      <c r="AP91" t="s">
        <v>194</v>
      </c>
    </row>
    <row r="92" spans="2:42" x14ac:dyDescent="0.2">
      <c r="B92" t="s">
        <v>179</v>
      </c>
      <c r="C92">
        <v>4.5999999999999996</v>
      </c>
      <c r="D92" t="s">
        <v>180</v>
      </c>
      <c r="F92" t="s">
        <v>167</v>
      </c>
      <c r="G92">
        <v>75.900000000000006</v>
      </c>
      <c r="H92" t="s">
        <v>168</v>
      </c>
      <c r="J92" t="s">
        <v>199</v>
      </c>
      <c r="K92">
        <v>17.2</v>
      </c>
      <c r="L92" t="s">
        <v>200</v>
      </c>
      <c r="N92" t="s">
        <v>161</v>
      </c>
      <c r="O92">
        <v>1</v>
      </c>
      <c r="P92" t="s">
        <v>162</v>
      </c>
      <c r="R92" t="s">
        <v>177</v>
      </c>
      <c r="S92">
        <v>0.32</v>
      </c>
      <c r="T92" t="s">
        <v>178</v>
      </c>
      <c r="V92" t="s">
        <v>159</v>
      </c>
      <c r="W92">
        <v>42.3</v>
      </c>
      <c r="X92" t="s">
        <v>160</v>
      </c>
      <c r="Z92" t="s">
        <v>193</v>
      </c>
      <c r="AA92">
        <v>60.2</v>
      </c>
      <c r="AB92" t="s">
        <v>194</v>
      </c>
      <c r="AD92" t="s">
        <v>197</v>
      </c>
      <c r="AE92">
        <v>67.599999999999994</v>
      </c>
      <c r="AF92" t="s">
        <v>198</v>
      </c>
      <c r="AH92" t="s">
        <v>185</v>
      </c>
      <c r="AI92">
        <v>174.84</v>
      </c>
      <c r="AJ92">
        <v>159.46</v>
      </c>
      <c r="AK92">
        <v>5.74</v>
      </c>
      <c r="AL92">
        <v>5.23</v>
      </c>
      <c r="AN92" t="s">
        <v>195</v>
      </c>
      <c r="AO92">
        <v>4193</v>
      </c>
      <c r="AP92" t="s">
        <v>196</v>
      </c>
    </row>
    <row r="93" spans="2:42" x14ac:dyDescent="0.2">
      <c r="B93" t="s">
        <v>181</v>
      </c>
      <c r="C93">
        <v>2</v>
      </c>
      <c r="D93" t="s">
        <v>182</v>
      </c>
      <c r="F93" t="s">
        <v>169</v>
      </c>
      <c r="G93">
        <v>70.900000000000006</v>
      </c>
      <c r="H93" t="s">
        <v>170</v>
      </c>
      <c r="J93" t="s">
        <v>201</v>
      </c>
      <c r="K93">
        <v>3.2</v>
      </c>
      <c r="L93" t="s">
        <v>202</v>
      </c>
      <c r="N93" t="s">
        <v>163</v>
      </c>
      <c r="O93">
        <v>1.08</v>
      </c>
      <c r="P93" t="s">
        <v>164</v>
      </c>
      <c r="R93" t="s">
        <v>179</v>
      </c>
      <c r="S93">
        <v>2.29</v>
      </c>
      <c r="T93" t="s">
        <v>180</v>
      </c>
      <c r="V93" t="s">
        <v>161</v>
      </c>
      <c r="W93">
        <v>36.5</v>
      </c>
      <c r="X93" t="s">
        <v>162</v>
      </c>
      <c r="Z93" t="s">
        <v>195</v>
      </c>
      <c r="AA93">
        <v>39</v>
      </c>
      <c r="AB93" t="s">
        <v>196</v>
      </c>
      <c r="AD93" t="s">
        <v>199</v>
      </c>
      <c r="AE93">
        <v>75.2</v>
      </c>
      <c r="AF93" t="s">
        <v>200</v>
      </c>
      <c r="AH93" t="s">
        <v>187</v>
      </c>
      <c r="AI93">
        <v>175.5</v>
      </c>
      <c r="AJ93">
        <v>161.74</v>
      </c>
      <c r="AK93">
        <v>5.76</v>
      </c>
      <c r="AL93">
        <v>5.31</v>
      </c>
      <c r="AN93" t="s">
        <v>197</v>
      </c>
      <c r="AO93">
        <v>8684</v>
      </c>
      <c r="AP93" t="s">
        <v>198</v>
      </c>
    </row>
    <row r="94" spans="2:42" x14ac:dyDescent="0.2">
      <c r="B94" t="s">
        <v>183</v>
      </c>
      <c r="C94">
        <v>1.4</v>
      </c>
      <c r="D94" t="s">
        <v>184</v>
      </c>
      <c r="F94" t="s">
        <v>171</v>
      </c>
      <c r="G94">
        <v>63.7</v>
      </c>
      <c r="H94" t="s">
        <v>172</v>
      </c>
      <c r="J94" t="s">
        <v>203</v>
      </c>
      <c r="K94">
        <v>28.9</v>
      </c>
      <c r="L94" t="s">
        <v>204</v>
      </c>
      <c r="N94" t="s">
        <v>165</v>
      </c>
      <c r="O94">
        <v>1</v>
      </c>
      <c r="P94" t="s">
        <v>166</v>
      </c>
      <c r="R94" t="s">
        <v>181</v>
      </c>
      <c r="S94">
        <v>0.21</v>
      </c>
      <c r="T94" t="s">
        <v>182</v>
      </c>
      <c r="V94" t="s">
        <v>163</v>
      </c>
      <c r="W94">
        <v>28.1</v>
      </c>
      <c r="X94" t="s">
        <v>164</v>
      </c>
      <c r="Z94" t="s">
        <v>197</v>
      </c>
      <c r="AA94">
        <v>15</v>
      </c>
      <c r="AB94" t="s">
        <v>198</v>
      </c>
      <c r="AD94" t="s">
        <v>201</v>
      </c>
      <c r="AE94">
        <v>78.900000000000006</v>
      </c>
      <c r="AF94" t="s">
        <v>202</v>
      </c>
      <c r="AH94" t="s">
        <v>189</v>
      </c>
      <c r="AI94">
        <v>170.46</v>
      </c>
      <c r="AJ94">
        <v>159.43</v>
      </c>
      <c r="AK94">
        <v>5.59</v>
      </c>
      <c r="AL94">
        <v>5.23</v>
      </c>
      <c r="AN94" t="s">
        <v>199</v>
      </c>
      <c r="AO94">
        <v>32987</v>
      </c>
      <c r="AP94" t="s">
        <v>200</v>
      </c>
    </row>
    <row r="95" spans="2:42" x14ac:dyDescent="0.2">
      <c r="B95" t="s">
        <v>185</v>
      </c>
      <c r="C95">
        <v>2.8</v>
      </c>
      <c r="D95" t="s">
        <v>186</v>
      </c>
      <c r="F95" t="s">
        <v>173</v>
      </c>
      <c r="G95">
        <v>52.9</v>
      </c>
      <c r="H95" t="s">
        <v>174</v>
      </c>
      <c r="J95" t="s">
        <v>205</v>
      </c>
      <c r="K95">
        <v>13.4</v>
      </c>
      <c r="L95" t="s">
        <v>206</v>
      </c>
      <c r="N95" t="s">
        <v>167</v>
      </c>
      <c r="O95">
        <v>1.03</v>
      </c>
      <c r="P95" t="s">
        <v>168</v>
      </c>
      <c r="R95" t="s">
        <v>183</v>
      </c>
      <c r="S95">
        <v>-0.2</v>
      </c>
      <c r="T95" t="s">
        <v>184</v>
      </c>
      <c r="V95" t="s">
        <v>165</v>
      </c>
      <c r="W95">
        <v>30.2</v>
      </c>
      <c r="X95" t="s">
        <v>166</v>
      </c>
      <c r="Z95" t="s">
        <v>199</v>
      </c>
      <c r="AA95">
        <v>45.7</v>
      </c>
      <c r="AB95" t="s">
        <v>200</v>
      </c>
      <c r="AD95" t="s">
        <v>203</v>
      </c>
      <c r="AE95">
        <v>53.7</v>
      </c>
      <c r="AF95" t="s">
        <v>204</v>
      </c>
      <c r="AH95" t="s">
        <v>191</v>
      </c>
      <c r="AI95">
        <v>170.09</v>
      </c>
      <c r="AJ95">
        <v>161.04</v>
      </c>
      <c r="AK95">
        <v>5.58</v>
      </c>
      <c r="AL95">
        <v>5.28</v>
      </c>
      <c r="AN95" t="s">
        <v>201</v>
      </c>
      <c r="AO95">
        <v>15599</v>
      </c>
      <c r="AP95" t="s">
        <v>202</v>
      </c>
    </row>
    <row r="96" spans="2:42" x14ac:dyDescent="0.2">
      <c r="B96" t="s">
        <v>187</v>
      </c>
      <c r="C96">
        <v>2.8</v>
      </c>
      <c r="D96" t="s">
        <v>188</v>
      </c>
      <c r="F96" t="s">
        <v>175</v>
      </c>
      <c r="G96">
        <v>92.6</v>
      </c>
      <c r="H96" t="s">
        <v>176</v>
      </c>
      <c r="J96" t="s">
        <v>207</v>
      </c>
      <c r="K96">
        <v>5.5</v>
      </c>
      <c r="L96" t="s">
        <v>208</v>
      </c>
      <c r="N96" t="s">
        <v>169</v>
      </c>
      <c r="O96">
        <v>1.01</v>
      </c>
      <c r="P96" t="s">
        <v>170</v>
      </c>
      <c r="R96" t="s">
        <v>185</v>
      </c>
      <c r="S96">
        <v>2.19</v>
      </c>
      <c r="T96" t="s">
        <v>186</v>
      </c>
      <c r="V96" t="s">
        <v>167</v>
      </c>
      <c r="W96">
        <v>30.3</v>
      </c>
      <c r="X96" t="s">
        <v>168</v>
      </c>
      <c r="Z96" t="s">
        <v>201</v>
      </c>
      <c r="AA96">
        <v>63.1</v>
      </c>
      <c r="AB96" t="s">
        <v>202</v>
      </c>
      <c r="AD96" t="s">
        <v>205</v>
      </c>
      <c r="AE96">
        <v>63.7</v>
      </c>
      <c r="AF96" t="s">
        <v>206</v>
      </c>
      <c r="AH96" t="s">
        <v>193</v>
      </c>
      <c r="AI96">
        <v>174.96</v>
      </c>
      <c r="AJ96">
        <v>160.1</v>
      </c>
      <c r="AK96">
        <v>5.74</v>
      </c>
      <c r="AL96">
        <v>5.25</v>
      </c>
      <c r="AN96" t="s">
        <v>203</v>
      </c>
      <c r="AO96">
        <v>3655</v>
      </c>
      <c r="AP96" t="s">
        <v>204</v>
      </c>
    </row>
    <row r="97" spans="2:42" x14ac:dyDescent="0.2">
      <c r="B97" t="s">
        <v>189</v>
      </c>
      <c r="C97">
        <v>3.5</v>
      </c>
      <c r="D97" t="s">
        <v>190</v>
      </c>
      <c r="F97" t="s">
        <v>177</v>
      </c>
      <c r="G97">
        <v>71</v>
      </c>
      <c r="H97" t="s">
        <v>178</v>
      </c>
      <c r="J97" t="s">
        <v>211</v>
      </c>
      <c r="K97">
        <v>25.7</v>
      </c>
      <c r="L97" t="s">
        <v>212</v>
      </c>
      <c r="N97" t="s">
        <v>171</v>
      </c>
      <c r="O97">
        <v>1</v>
      </c>
      <c r="P97" t="s">
        <v>172</v>
      </c>
      <c r="R97" t="s">
        <v>187</v>
      </c>
      <c r="S97">
        <v>1.43</v>
      </c>
      <c r="T97" t="s">
        <v>188</v>
      </c>
      <c r="V97" t="s">
        <v>169</v>
      </c>
      <c r="W97">
        <v>20</v>
      </c>
      <c r="X97" t="s">
        <v>170</v>
      </c>
      <c r="Z97" t="s">
        <v>203</v>
      </c>
      <c r="AA97">
        <v>15.4</v>
      </c>
      <c r="AB97" t="s">
        <v>204</v>
      </c>
      <c r="AD97" t="s">
        <v>207</v>
      </c>
      <c r="AE97">
        <v>72.7</v>
      </c>
      <c r="AF97" t="s">
        <v>208</v>
      </c>
      <c r="AH97" t="s">
        <v>195</v>
      </c>
      <c r="AI97">
        <v>171.66</v>
      </c>
      <c r="AJ97">
        <v>160.19999999999999</v>
      </c>
      <c r="AK97">
        <v>5.63</v>
      </c>
      <c r="AL97">
        <v>5.26</v>
      </c>
      <c r="AN97" t="s">
        <v>205</v>
      </c>
      <c r="AO97">
        <v>1428</v>
      </c>
      <c r="AP97" t="s">
        <v>206</v>
      </c>
    </row>
    <row r="98" spans="2:42" x14ac:dyDescent="0.2">
      <c r="B98" t="s">
        <v>191</v>
      </c>
      <c r="C98">
        <v>3.6</v>
      </c>
      <c r="D98" t="s">
        <v>192</v>
      </c>
      <c r="F98" t="s">
        <v>179</v>
      </c>
      <c r="G98">
        <v>51.7</v>
      </c>
      <c r="H98" t="s">
        <v>180</v>
      </c>
      <c r="J98" t="s">
        <v>213</v>
      </c>
      <c r="K98">
        <v>10.4</v>
      </c>
      <c r="L98" t="s">
        <v>214</v>
      </c>
      <c r="N98" t="s">
        <v>173</v>
      </c>
      <c r="O98">
        <v>1</v>
      </c>
      <c r="P98" t="s">
        <v>174</v>
      </c>
      <c r="R98" t="s">
        <v>189</v>
      </c>
      <c r="S98">
        <v>2.7</v>
      </c>
      <c r="T98" t="s">
        <v>190</v>
      </c>
      <c r="V98" t="s">
        <v>171</v>
      </c>
      <c r="W98">
        <v>36.799999999999997</v>
      </c>
      <c r="X98" t="s">
        <v>172</v>
      </c>
      <c r="Z98" t="s">
        <v>205</v>
      </c>
      <c r="AA98">
        <v>7.9</v>
      </c>
      <c r="AB98" t="s">
        <v>206</v>
      </c>
      <c r="AD98" t="s">
        <v>209</v>
      </c>
      <c r="AE98">
        <v>80.5</v>
      </c>
      <c r="AF98" t="s">
        <v>210</v>
      </c>
      <c r="AH98" t="s">
        <v>197</v>
      </c>
      <c r="AI98">
        <v>162.78</v>
      </c>
      <c r="AJ98">
        <v>153.1</v>
      </c>
      <c r="AK98">
        <v>5.34</v>
      </c>
      <c r="AL98">
        <v>5.0199999999999996</v>
      </c>
      <c r="AN98" t="s">
        <v>207</v>
      </c>
      <c r="AO98">
        <v>9446</v>
      </c>
      <c r="AP98" t="s">
        <v>208</v>
      </c>
    </row>
    <row r="99" spans="2:42" x14ac:dyDescent="0.2">
      <c r="B99" t="s">
        <v>193</v>
      </c>
      <c r="C99">
        <v>2.1</v>
      </c>
      <c r="D99" t="s">
        <v>194</v>
      </c>
      <c r="F99" t="s">
        <v>181</v>
      </c>
      <c r="G99">
        <v>56.3</v>
      </c>
      <c r="H99" t="s">
        <v>182</v>
      </c>
      <c r="J99" t="s">
        <v>217</v>
      </c>
      <c r="K99">
        <v>6.9</v>
      </c>
      <c r="L99" t="s">
        <v>218</v>
      </c>
      <c r="N99" t="s">
        <v>175</v>
      </c>
      <c r="O99">
        <v>1.01</v>
      </c>
      <c r="P99" t="s">
        <v>176</v>
      </c>
      <c r="R99" t="s">
        <v>191</v>
      </c>
      <c r="S99">
        <v>1.54</v>
      </c>
      <c r="T99" t="s">
        <v>192</v>
      </c>
      <c r="V99" t="s">
        <v>173</v>
      </c>
      <c r="W99">
        <v>44.2</v>
      </c>
      <c r="X99" t="s">
        <v>174</v>
      </c>
      <c r="Z99" t="s">
        <v>207</v>
      </c>
      <c r="AA99">
        <v>28.6</v>
      </c>
      <c r="AB99" t="s">
        <v>208</v>
      </c>
      <c r="AD99" t="s">
        <v>211</v>
      </c>
      <c r="AE99">
        <v>75.7</v>
      </c>
      <c r="AF99" t="s">
        <v>212</v>
      </c>
      <c r="AH99" t="s">
        <v>199</v>
      </c>
      <c r="AI99">
        <v>181.17</v>
      </c>
      <c r="AJ99">
        <v>168.81</v>
      </c>
      <c r="AK99">
        <v>5.94</v>
      </c>
      <c r="AL99">
        <v>5.54</v>
      </c>
      <c r="AN99" t="s">
        <v>211</v>
      </c>
      <c r="AO99">
        <v>38751</v>
      </c>
      <c r="AP99" t="s">
        <v>212</v>
      </c>
    </row>
    <row r="100" spans="2:42" x14ac:dyDescent="0.2">
      <c r="B100" t="s">
        <v>195</v>
      </c>
      <c r="C100">
        <v>3.3</v>
      </c>
      <c r="D100" t="s">
        <v>196</v>
      </c>
      <c r="F100" t="s">
        <v>183</v>
      </c>
      <c r="G100">
        <v>91.8</v>
      </c>
      <c r="H100" t="s">
        <v>184</v>
      </c>
      <c r="J100" t="s">
        <v>219</v>
      </c>
      <c r="K100">
        <v>7.8</v>
      </c>
      <c r="L100" t="s">
        <v>220</v>
      </c>
      <c r="N100" t="s">
        <v>177</v>
      </c>
      <c r="O100">
        <v>0.93</v>
      </c>
      <c r="P100" t="s">
        <v>178</v>
      </c>
      <c r="R100" t="s">
        <v>193</v>
      </c>
      <c r="S100">
        <v>3.95</v>
      </c>
      <c r="T100" t="s">
        <v>194</v>
      </c>
      <c r="V100" t="s">
        <v>175</v>
      </c>
      <c r="W100">
        <v>29.9</v>
      </c>
      <c r="X100" t="s">
        <v>176</v>
      </c>
      <c r="Z100" t="s">
        <v>211</v>
      </c>
      <c r="AA100">
        <v>49.5</v>
      </c>
      <c r="AB100" t="s">
        <v>212</v>
      </c>
      <c r="AD100" t="s">
        <v>213</v>
      </c>
      <c r="AE100">
        <v>82.1</v>
      </c>
      <c r="AF100" t="s">
        <v>214</v>
      </c>
      <c r="AH100" t="s">
        <v>201</v>
      </c>
      <c r="AI100">
        <v>178.96</v>
      </c>
      <c r="AJ100">
        <v>163.66999999999999</v>
      </c>
      <c r="AK100">
        <v>5.87</v>
      </c>
      <c r="AL100">
        <v>5.37</v>
      </c>
      <c r="AN100" t="s">
        <v>213</v>
      </c>
      <c r="AO100">
        <v>112045</v>
      </c>
      <c r="AP100" t="s">
        <v>214</v>
      </c>
    </row>
    <row r="101" spans="2:42" x14ac:dyDescent="0.2">
      <c r="B101" t="s">
        <v>197</v>
      </c>
      <c r="C101">
        <v>2.7</v>
      </c>
      <c r="D101" t="s">
        <v>198</v>
      </c>
      <c r="F101" t="s">
        <v>442</v>
      </c>
      <c r="G101">
        <v>31</v>
      </c>
      <c r="H101" t="s">
        <v>443</v>
      </c>
      <c r="J101" t="s">
        <v>221</v>
      </c>
      <c r="K101">
        <v>6.2</v>
      </c>
      <c r="L101" t="s">
        <v>222</v>
      </c>
      <c r="N101" t="s">
        <v>179</v>
      </c>
      <c r="O101">
        <v>1.01</v>
      </c>
      <c r="P101" t="s">
        <v>180</v>
      </c>
      <c r="R101" t="s">
        <v>195</v>
      </c>
      <c r="S101">
        <v>1.22</v>
      </c>
      <c r="T101" t="s">
        <v>196</v>
      </c>
      <c r="V101" t="s">
        <v>177</v>
      </c>
      <c r="W101">
        <v>45.5</v>
      </c>
      <c r="X101" t="s">
        <v>178</v>
      </c>
      <c r="Z101" t="s">
        <v>213</v>
      </c>
      <c r="AA101">
        <v>141.69999999999999</v>
      </c>
      <c r="AB101" t="s">
        <v>214</v>
      </c>
      <c r="AD101" t="s">
        <v>217</v>
      </c>
      <c r="AE101">
        <v>66.7</v>
      </c>
      <c r="AF101" t="s">
        <v>218</v>
      </c>
      <c r="AH101" t="s">
        <v>203</v>
      </c>
      <c r="AI101">
        <v>167.92</v>
      </c>
      <c r="AJ101">
        <v>156.72</v>
      </c>
      <c r="AK101">
        <v>5.51</v>
      </c>
      <c r="AL101">
        <v>5.14</v>
      </c>
      <c r="AN101" t="s">
        <v>215</v>
      </c>
      <c r="AO101">
        <v>113352</v>
      </c>
      <c r="AP101" t="s">
        <v>216</v>
      </c>
    </row>
    <row r="102" spans="2:42" x14ac:dyDescent="0.2">
      <c r="B102" t="s">
        <v>199</v>
      </c>
      <c r="C102">
        <v>1.6</v>
      </c>
      <c r="D102" t="s">
        <v>200</v>
      </c>
      <c r="F102" t="s">
        <v>185</v>
      </c>
      <c r="G102">
        <v>91.4</v>
      </c>
      <c r="H102" t="s">
        <v>186</v>
      </c>
      <c r="J102" t="s">
        <v>223</v>
      </c>
      <c r="K102">
        <v>2.7</v>
      </c>
      <c r="L102" t="s">
        <v>224</v>
      </c>
      <c r="N102" t="s">
        <v>181</v>
      </c>
      <c r="O102">
        <v>0.98</v>
      </c>
      <c r="P102" t="s">
        <v>182</v>
      </c>
      <c r="R102" t="s">
        <v>197</v>
      </c>
      <c r="S102">
        <v>1.89</v>
      </c>
      <c r="T102" t="s">
        <v>198</v>
      </c>
      <c r="V102" t="s">
        <v>181</v>
      </c>
      <c r="W102">
        <v>26</v>
      </c>
      <c r="X102" t="s">
        <v>182</v>
      </c>
      <c r="Z102" t="s">
        <v>217</v>
      </c>
      <c r="AA102">
        <v>17.600000000000001</v>
      </c>
      <c r="AB102" t="s">
        <v>218</v>
      </c>
      <c r="AD102" t="s">
        <v>219</v>
      </c>
      <c r="AE102">
        <v>63.8</v>
      </c>
      <c r="AF102" t="s">
        <v>220</v>
      </c>
      <c r="AH102" t="s">
        <v>205</v>
      </c>
      <c r="AI102">
        <v>165.48</v>
      </c>
      <c r="AJ102">
        <v>156.54</v>
      </c>
      <c r="AK102">
        <v>5.43</v>
      </c>
      <c r="AL102">
        <v>5.14</v>
      </c>
      <c r="AN102" t="s">
        <v>217</v>
      </c>
      <c r="AO102">
        <v>1776</v>
      </c>
      <c r="AP102" t="s">
        <v>218</v>
      </c>
    </row>
    <row r="103" spans="2:42" x14ac:dyDescent="0.2">
      <c r="B103" t="s">
        <v>201</v>
      </c>
      <c r="C103">
        <v>2.1</v>
      </c>
      <c r="D103" t="s">
        <v>202</v>
      </c>
      <c r="F103" t="s">
        <v>187</v>
      </c>
      <c r="G103">
        <v>57.7</v>
      </c>
      <c r="H103" t="s">
        <v>188</v>
      </c>
      <c r="J103" t="s">
        <v>225</v>
      </c>
      <c r="K103">
        <v>8.9</v>
      </c>
      <c r="L103" t="s">
        <v>226</v>
      </c>
      <c r="N103" t="s">
        <v>183</v>
      </c>
      <c r="O103">
        <v>0.94</v>
      </c>
      <c r="P103" t="s">
        <v>184</v>
      </c>
      <c r="R103" t="s">
        <v>199</v>
      </c>
      <c r="S103">
        <v>-1.6</v>
      </c>
      <c r="T103" t="s">
        <v>200</v>
      </c>
      <c r="V103" t="s">
        <v>183</v>
      </c>
      <c r="W103">
        <v>47.3</v>
      </c>
      <c r="X103" t="s">
        <v>184</v>
      </c>
      <c r="Z103" t="s">
        <v>219</v>
      </c>
      <c r="AA103">
        <v>5.0999999999999996</v>
      </c>
      <c r="AB103" t="s">
        <v>220</v>
      </c>
      <c r="AD103" t="s">
        <v>221</v>
      </c>
      <c r="AE103">
        <v>76.099999999999994</v>
      </c>
      <c r="AF103" t="s">
        <v>222</v>
      </c>
      <c r="AH103" t="s">
        <v>207</v>
      </c>
      <c r="AI103">
        <v>176.39</v>
      </c>
      <c r="AJ103">
        <v>162.56</v>
      </c>
      <c r="AK103">
        <v>5.79</v>
      </c>
      <c r="AL103">
        <v>5.33</v>
      </c>
      <c r="AN103" t="s">
        <v>219</v>
      </c>
      <c r="AO103">
        <v>1292</v>
      </c>
      <c r="AP103" t="s">
        <v>220</v>
      </c>
    </row>
    <row r="104" spans="2:42" x14ac:dyDescent="0.2">
      <c r="B104" t="s">
        <v>203</v>
      </c>
      <c r="C104">
        <v>3.1</v>
      </c>
      <c r="D104" t="s">
        <v>204</v>
      </c>
      <c r="F104" t="s">
        <v>189</v>
      </c>
      <c r="G104">
        <v>28</v>
      </c>
      <c r="H104" t="s">
        <v>190</v>
      </c>
      <c r="J104" t="s">
        <v>227</v>
      </c>
      <c r="K104">
        <v>6.5</v>
      </c>
      <c r="L104" t="s">
        <v>228</v>
      </c>
      <c r="N104" t="s">
        <v>442</v>
      </c>
      <c r="O104">
        <v>0.97</v>
      </c>
      <c r="P104" t="s">
        <v>443</v>
      </c>
      <c r="R104" t="s">
        <v>201</v>
      </c>
      <c r="S104">
        <v>0.96</v>
      </c>
      <c r="T104" t="s">
        <v>202</v>
      </c>
      <c r="V104" t="s">
        <v>442</v>
      </c>
      <c r="W104">
        <v>38</v>
      </c>
      <c r="X104" t="s">
        <v>443</v>
      </c>
      <c r="Z104" t="s">
        <v>221</v>
      </c>
      <c r="AA104">
        <v>50.9</v>
      </c>
      <c r="AB104" t="s">
        <v>222</v>
      </c>
      <c r="AD104" t="s">
        <v>225</v>
      </c>
      <c r="AE104">
        <v>58.9</v>
      </c>
      <c r="AF104" t="s">
        <v>226</v>
      </c>
      <c r="AH104" t="s">
        <v>211</v>
      </c>
      <c r="AI104">
        <v>180.72</v>
      </c>
      <c r="AJ104">
        <v>167.63</v>
      </c>
      <c r="AK104">
        <v>5.93</v>
      </c>
      <c r="AL104">
        <v>5.5</v>
      </c>
      <c r="AN104" t="s">
        <v>221</v>
      </c>
      <c r="AO104">
        <v>34567</v>
      </c>
      <c r="AP104" t="s">
        <v>222</v>
      </c>
    </row>
    <row r="105" spans="2:42" x14ac:dyDescent="0.2">
      <c r="B105" t="s">
        <v>205</v>
      </c>
      <c r="C105">
        <v>4.3</v>
      </c>
      <c r="D105" t="s">
        <v>206</v>
      </c>
      <c r="F105" t="s">
        <v>191</v>
      </c>
      <c r="G105">
        <v>55.6</v>
      </c>
      <c r="H105" t="s">
        <v>192</v>
      </c>
      <c r="J105" t="s">
        <v>231</v>
      </c>
      <c r="K105">
        <v>7.5</v>
      </c>
      <c r="L105" t="s">
        <v>232</v>
      </c>
      <c r="N105" t="s">
        <v>185</v>
      </c>
      <c r="O105">
        <v>1.1100000000000001</v>
      </c>
      <c r="P105" t="s">
        <v>186</v>
      </c>
      <c r="R105" t="s">
        <v>203</v>
      </c>
      <c r="S105">
        <v>1.08</v>
      </c>
      <c r="T105" t="s">
        <v>204</v>
      </c>
      <c r="V105" t="s">
        <v>185</v>
      </c>
      <c r="W105">
        <v>22.5</v>
      </c>
      <c r="X105" t="s">
        <v>186</v>
      </c>
      <c r="Z105" t="s">
        <v>223</v>
      </c>
      <c r="AA105">
        <v>16.600000000000001</v>
      </c>
      <c r="AB105" t="s">
        <v>224</v>
      </c>
      <c r="AD105" t="s">
        <v>227</v>
      </c>
      <c r="AE105">
        <v>82.4</v>
      </c>
      <c r="AF105" t="s">
        <v>228</v>
      </c>
      <c r="AH105" t="s">
        <v>213</v>
      </c>
      <c r="AI105">
        <v>178.46</v>
      </c>
      <c r="AJ105">
        <v>165.07</v>
      </c>
      <c r="AK105">
        <v>5.86</v>
      </c>
      <c r="AL105">
        <v>5.42</v>
      </c>
      <c r="AN105" t="s">
        <v>223</v>
      </c>
      <c r="AO105">
        <v>24796</v>
      </c>
      <c r="AP105" t="s">
        <v>224</v>
      </c>
    </row>
    <row r="106" spans="2:42" x14ac:dyDescent="0.2">
      <c r="B106" t="s">
        <v>207</v>
      </c>
      <c r="C106">
        <v>2.2000000000000002</v>
      </c>
      <c r="D106" t="s">
        <v>208</v>
      </c>
      <c r="F106" t="s">
        <v>195</v>
      </c>
      <c r="G106">
        <v>36.9</v>
      </c>
      <c r="H106" t="s">
        <v>196</v>
      </c>
      <c r="J106" t="s">
        <v>233</v>
      </c>
      <c r="K106">
        <v>7.3</v>
      </c>
      <c r="L106" t="s">
        <v>234</v>
      </c>
      <c r="N106" t="s">
        <v>187</v>
      </c>
      <c r="O106">
        <v>0.91</v>
      </c>
      <c r="P106" t="s">
        <v>188</v>
      </c>
      <c r="R106" t="s">
        <v>205</v>
      </c>
      <c r="S106">
        <v>2.68</v>
      </c>
      <c r="T106" t="s">
        <v>206</v>
      </c>
      <c r="V106" t="s">
        <v>187</v>
      </c>
      <c r="W106">
        <v>30.6</v>
      </c>
      <c r="X106" t="s">
        <v>188</v>
      </c>
      <c r="Z106" t="s">
        <v>225</v>
      </c>
      <c r="AA106">
        <v>19</v>
      </c>
      <c r="AB106" t="s">
        <v>226</v>
      </c>
      <c r="AD106" t="s">
        <v>229</v>
      </c>
      <c r="AE106">
        <v>73.900000000000006</v>
      </c>
      <c r="AF106" t="s">
        <v>230</v>
      </c>
      <c r="AH106" t="s">
        <v>217</v>
      </c>
      <c r="AI106">
        <v>165.16</v>
      </c>
      <c r="AJ106">
        <v>153.06</v>
      </c>
      <c r="AK106">
        <v>5.42</v>
      </c>
      <c r="AL106">
        <v>5.0199999999999996</v>
      </c>
      <c r="AN106" t="s">
        <v>225</v>
      </c>
      <c r="AO106">
        <v>2569</v>
      </c>
      <c r="AP106" t="s">
        <v>226</v>
      </c>
    </row>
    <row r="107" spans="2:42" x14ac:dyDescent="0.2">
      <c r="B107" t="s">
        <v>209</v>
      </c>
      <c r="C107">
        <v>1.6</v>
      </c>
      <c r="D107" t="s">
        <v>210</v>
      </c>
      <c r="F107" t="s">
        <v>197</v>
      </c>
      <c r="G107">
        <v>36.299999999999997</v>
      </c>
      <c r="H107" t="s">
        <v>198</v>
      </c>
      <c r="J107" t="s">
        <v>235</v>
      </c>
      <c r="K107">
        <v>5.2</v>
      </c>
      <c r="L107" t="s">
        <v>236</v>
      </c>
      <c r="N107" t="s">
        <v>189</v>
      </c>
      <c r="O107">
        <v>1</v>
      </c>
      <c r="P107" t="s">
        <v>190</v>
      </c>
      <c r="R107" t="s">
        <v>207</v>
      </c>
      <c r="S107">
        <v>0.84</v>
      </c>
      <c r="T107" t="s">
        <v>208</v>
      </c>
      <c r="V107" t="s">
        <v>189</v>
      </c>
      <c r="W107">
        <v>19.7</v>
      </c>
      <c r="X107" t="s">
        <v>190</v>
      </c>
      <c r="Z107" t="s">
        <v>227</v>
      </c>
      <c r="AA107">
        <v>86.9</v>
      </c>
      <c r="AB107" t="s">
        <v>228</v>
      </c>
      <c r="AD107" t="s">
        <v>231</v>
      </c>
      <c r="AE107">
        <v>64.7</v>
      </c>
      <c r="AF107" t="s">
        <v>232</v>
      </c>
      <c r="AH107" t="s">
        <v>219</v>
      </c>
      <c r="AI107">
        <v>165.68</v>
      </c>
      <c r="AJ107">
        <v>156.13999999999999</v>
      </c>
      <c r="AK107">
        <v>5.44</v>
      </c>
      <c r="AL107">
        <v>5.12</v>
      </c>
      <c r="AN107" t="s">
        <v>227</v>
      </c>
      <c r="AO107">
        <v>49589</v>
      </c>
      <c r="AP107" t="s">
        <v>228</v>
      </c>
    </row>
    <row r="108" spans="2:42" x14ac:dyDescent="0.2">
      <c r="B108" t="s">
        <v>211</v>
      </c>
      <c r="C108">
        <v>1.6</v>
      </c>
      <c r="D108" t="s">
        <v>212</v>
      </c>
      <c r="F108" t="s">
        <v>199</v>
      </c>
      <c r="G108">
        <v>68.3</v>
      </c>
      <c r="H108" t="s">
        <v>200</v>
      </c>
      <c r="J108" t="s">
        <v>239</v>
      </c>
      <c r="K108">
        <v>13.4</v>
      </c>
      <c r="L108" t="s">
        <v>240</v>
      </c>
      <c r="N108" t="s">
        <v>191</v>
      </c>
      <c r="O108">
        <v>0.94</v>
      </c>
      <c r="P108" t="s">
        <v>192</v>
      </c>
      <c r="R108" t="s">
        <v>209</v>
      </c>
      <c r="S108">
        <v>0.73</v>
      </c>
      <c r="T108" t="s">
        <v>210</v>
      </c>
      <c r="V108" t="s">
        <v>191</v>
      </c>
      <c r="W108">
        <v>24.6</v>
      </c>
      <c r="X108" t="s">
        <v>192</v>
      </c>
      <c r="Z108" t="s">
        <v>466</v>
      </c>
      <c r="AA108">
        <v>13.9</v>
      </c>
      <c r="AB108" t="s">
        <v>467</v>
      </c>
      <c r="AD108" t="s">
        <v>233</v>
      </c>
      <c r="AE108">
        <v>74.900000000000006</v>
      </c>
      <c r="AF108" t="s">
        <v>234</v>
      </c>
      <c r="AH108" t="s">
        <v>221</v>
      </c>
      <c r="AI108">
        <v>169.2</v>
      </c>
      <c r="AJ108">
        <v>157.06</v>
      </c>
      <c r="AK108">
        <v>5.55</v>
      </c>
      <c r="AL108">
        <v>5.15</v>
      </c>
      <c r="AN108" t="s">
        <v>229</v>
      </c>
      <c r="AO108">
        <v>3972</v>
      </c>
      <c r="AP108" t="s">
        <v>230</v>
      </c>
    </row>
    <row r="109" spans="2:42" x14ac:dyDescent="0.2">
      <c r="B109" t="s">
        <v>213</v>
      </c>
      <c r="C109">
        <v>1.4</v>
      </c>
      <c r="D109" t="s">
        <v>214</v>
      </c>
      <c r="F109" t="s">
        <v>201</v>
      </c>
      <c r="G109">
        <v>88.9</v>
      </c>
      <c r="H109" t="s">
        <v>202</v>
      </c>
      <c r="J109" t="s">
        <v>241</v>
      </c>
      <c r="K109">
        <v>13.3</v>
      </c>
      <c r="L109" t="s">
        <v>242</v>
      </c>
      <c r="N109" t="s">
        <v>267</v>
      </c>
      <c r="O109">
        <v>0.95</v>
      </c>
      <c r="P109" t="s">
        <v>268</v>
      </c>
      <c r="R109" t="s">
        <v>211</v>
      </c>
      <c r="S109">
        <v>-1.48</v>
      </c>
      <c r="T109" t="s">
        <v>212</v>
      </c>
      <c r="V109" t="s">
        <v>267</v>
      </c>
      <c r="W109">
        <v>34</v>
      </c>
      <c r="X109" t="s">
        <v>268</v>
      </c>
      <c r="Z109" t="s">
        <v>231</v>
      </c>
      <c r="AA109">
        <v>29.9</v>
      </c>
      <c r="AB109" t="s">
        <v>232</v>
      </c>
      <c r="AD109" t="s">
        <v>235</v>
      </c>
      <c r="AE109">
        <v>75</v>
      </c>
      <c r="AF109" t="s">
        <v>236</v>
      </c>
      <c r="AH109" t="s">
        <v>223</v>
      </c>
      <c r="AI109">
        <v>167.87</v>
      </c>
      <c r="AJ109">
        <v>154.28</v>
      </c>
      <c r="AK109">
        <v>5.51</v>
      </c>
      <c r="AL109">
        <v>5.0599999999999996</v>
      </c>
      <c r="AN109" t="s">
        <v>231</v>
      </c>
      <c r="AO109">
        <v>5158</v>
      </c>
      <c r="AP109" t="s">
        <v>232</v>
      </c>
    </row>
    <row r="110" spans="2:42" x14ac:dyDescent="0.2">
      <c r="B110" t="s">
        <v>215</v>
      </c>
      <c r="C110">
        <v>1.2</v>
      </c>
      <c r="D110" t="s">
        <v>216</v>
      </c>
      <c r="F110" t="s">
        <v>203</v>
      </c>
      <c r="G110">
        <v>29</v>
      </c>
      <c r="H110" t="s">
        <v>204</v>
      </c>
      <c r="J110" t="s">
        <v>243</v>
      </c>
      <c r="K110">
        <v>7.9</v>
      </c>
      <c r="L110" t="s">
        <v>244</v>
      </c>
      <c r="N110" t="s">
        <v>333</v>
      </c>
      <c r="O110">
        <v>1.01</v>
      </c>
      <c r="P110" t="s">
        <v>334</v>
      </c>
      <c r="R110" t="s">
        <v>213</v>
      </c>
      <c r="S110">
        <v>2.4900000000000002</v>
      </c>
      <c r="T110" t="s">
        <v>214</v>
      </c>
      <c r="V110" t="s">
        <v>333</v>
      </c>
      <c r="W110">
        <v>41.8</v>
      </c>
      <c r="X110" t="s">
        <v>334</v>
      </c>
      <c r="Z110" t="s">
        <v>233</v>
      </c>
      <c r="AA110">
        <v>39.6</v>
      </c>
      <c r="AB110" t="s">
        <v>234</v>
      </c>
      <c r="AD110" t="s">
        <v>237</v>
      </c>
      <c r="AE110">
        <v>67.8</v>
      </c>
      <c r="AF110" t="s">
        <v>238</v>
      </c>
      <c r="AH110" t="s">
        <v>225</v>
      </c>
      <c r="AI110">
        <v>175.02</v>
      </c>
      <c r="AJ110">
        <v>161.99</v>
      </c>
      <c r="AK110">
        <v>5.74</v>
      </c>
      <c r="AL110">
        <v>5.31</v>
      </c>
      <c r="AN110" t="s">
        <v>233</v>
      </c>
      <c r="AO110">
        <v>26461</v>
      </c>
      <c r="AP110" t="s">
        <v>234</v>
      </c>
    </row>
    <row r="111" spans="2:42" x14ac:dyDescent="0.2">
      <c r="B111" t="s">
        <v>217</v>
      </c>
      <c r="C111">
        <v>4.0999999999999996</v>
      </c>
      <c r="D111" t="s">
        <v>218</v>
      </c>
      <c r="F111" t="s">
        <v>205</v>
      </c>
      <c r="G111">
        <v>52.1</v>
      </c>
      <c r="H111" t="s">
        <v>206</v>
      </c>
      <c r="J111" t="s">
        <v>245</v>
      </c>
      <c r="K111">
        <v>3.1</v>
      </c>
      <c r="L111" t="s">
        <v>246</v>
      </c>
      <c r="N111" t="s">
        <v>193</v>
      </c>
      <c r="O111">
        <v>1.38</v>
      </c>
      <c r="P111" t="s">
        <v>194</v>
      </c>
      <c r="R111" t="s">
        <v>215</v>
      </c>
      <c r="S111">
        <v>1.9</v>
      </c>
      <c r="T111" t="s">
        <v>216</v>
      </c>
      <c r="V111" t="s">
        <v>193</v>
      </c>
      <c r="W111">
        <v>29.3</v>
      </c>
      <c r="X111" t="s">
        <v>194</v>
      </c>
      <c r="Z111" t="s">
        <v>235</v>
      </c>
      <c r="AA111">
        <v>58.6</v>
      </c>
      <c r="AB111" t="s">
        <v>236</v>
      </c>
      <c r="AD111" t="s">
        <v>239</v>
      </c>
      <c r="AE111">
        <v>71.8</v>
      </c>
      <c r="AF111" t="s">
        <v>240</v>
      </c>
      <c r="AH111" t="s">
        <v>227</v>
      </c>
      <c r="AI111">
        <v>174.38</v>
      </c>
      <c r="AJ111">
        <v>162.94999999999999</v>
      </c>
      <c r="AK111">
        <v>5.72</v>
      </c>
      <c r="AL111">
        <v>5.35</v>
      </c>
      <c r="AN111" t="s">
        <v>235</v>
      </c>
      <c r="AO111">
        <v>21363</v>
      </c>
      <c r="AP111" t="s">
        <v>236</v>
      </c>
    </row>
    <row r="112" spans="2:42" x14ac:dyDescent="0.2">
      <c r="B112" t="s">
        <v>219</v>
      </c>
      <c r="C112">
        <v>4.2</v>
      </c>
      <c r="D112" t="s">
        <v>220</v>
      </c>
      <c r="F112" t="s">
        <v>207</v>
      </c>
      <c r="G112">
        <v>80.7</v>
      </c>
      <c r="H112" t="s">
        <v>208</v>
      </c>
      <c r="J112" t="s">
        <v>247</v>
      </c>
      <c r="K112">
        <v>8.4</v>
      </c>
      <c r="L112" t="s">
        <v>248</v>
      </c>
      <c r="N112" t="s">
        <v>195</v>
      </c>
      <c r="O112">
        <v>0.96</v>
      </c>
      <c r="P112" t="s">
        <v>196</v>
      </c>
      <c r="R112" t="s">
        <v>217</v>
      </c>
      <c r="S112">
        <v>2.8</v>
      </c>
      <c r="T112" t="s">
        <v>218</v>
      </c>
      <c r="V112" t="s">
        <v>195</v>
      </c>
      <c r="W112">
        <v>26.5</v>
      </c>
      <c r="X112" t="s">
        <v>196</v>
      </c>
      <c r="Z112" t="s">
        <v>239</v>
      </c>
      <c r="AA112">
        <v>22.7</v>
      </c>
      <c r="AB112" t="s">
        <v>240</v>
      </c>
      <c r="AD112" t="s">
        <v>241</v>
      </c>
      <c r="AE112">
        <v>69.7</v>
      </c>
      <c r="AF112" t="s">
        <v>242</v>
      </c>
      <c r="AH112" t="s">
        <v>229</v>
      </c>
      <c r="AI112">
        <v>165.26</v>
      </c>
      <c r="AJ112">
        <v>154.76</v>
      </c>
      <c r="AK112">
        <v>5.42</v>
      </c>
      <c r="AL112">
        <v>5.08</v>
      </c>
      <c r="AN112" t="s">
        <v>237</v>
      </c>
      <c r="AO112">
        <v>3657</v>
      </c>
      <c r="AP112" t="s">
        <v>238</v>
      </c>
    </row>
    <row r="113" spans="2:42" x14ac:dyDescent="0.2">
      <c r="B113" t="s">
        <v>221</v>
      </c>
      <c r="C113">
        <v>2</v>
      </c>
      <c r="D113" t="s">
        <v>222</v>
      </c>
      <c r="F113" t="s">
        <v>209</v>
      </c>
      <c r="G113">
        <v>14.4</v>
      </c>
      <c r="H113" t="s">
        <v>210</v>
      </c>
      <c r="J113" t="s">
        <v>249</v>
      </c>
      <c r="K113">
        <v>8.1</v>
      </c>
      <c r="L113" t="s">
        <v>250</v>
      </c>
      <c r="N113" t="s">
        <v>197</v>
      </c>
      <c r="O113">
        <v>0.99</v>
      </c>
      <c r="P113" t="s">
        <v>198</v>
      </c>
      <c r="R113" t="s">
        <v>219</v>
      </c>
      <c r="S113">
        <v>2.86</v>
      </c>
      <c r="T113" t="s">
        <v>220</v>
      </c>
      <c r="V113" t="s">
        <v>197</v>
      </c>
      <c r="W113">
        <v>23</v>
      </c>
      <c r="X113" t="s">
        <v>198</v>
      </c>
      <c r="Z113" t="s">
        <v>241</v>
      </c>
      <c r="AA113">
        <v>108.8</v>
      </c>
      <c r="AB113" t="s">
        <v>242</v>
      </c>
      <c r="AD113" t="s">
        <v>243</v>
      </c>
      <c r="AE113">
        <v>76.8</v>
      </c>
      <c r="AF113" t="s">
        <v>244</v>
      </c>
      <c r="AH113" t="s">
        <v>231</v>
      </c>
      <c r="AI113">
        <v>165.54</v>
      </c>
      <c r="AJ113">
        <v>160.06</v>
      </c>
      <c r="AK113">
        <v>5.43</v>
      </c>
      <c r="AL113">
        <v>5.25</v>
      </c>
      <c r="AN113" t="s">
        <v>239</v>
      </c>
      <c r="AO113">
        <v>8161</v>
      </c>
      <c r="AP113" t="s">
        <v>240</v>
      </c>
    </row>
    <row r="114" spans="2:42" x14ac:dyDescent="0.2">
      <c r="B114" t="s">
        <v>223</v>
      </c>
      <c r="C114">
        <v>1.9</v>
      </c>
      <c r="D114" t="s">
        <v>224</v>
      </c>
      <c r="F114" t="s">
        <v>211</v>
      </c>
      <c r="G114">
        <v>68</v>
      </c>
      <c r="H114" t="s">
        <v>212</v>
      </c>
      <c r="J114" t="s">
        <v>251</v>
      </c>
      <c r="K114">
        <v>11.5</v>
      </c>
      <c r="L114" t="s">
        <v>252</v>
      </c>
      <c r="N114" t="s">
        <v>199</v>
      </c>
      <c r="O114">
        <v>0.86</v>
      </c>
      <c r="P114" t="s">
        <v>200</v>
      </c>
      <c r="R114" t="s">
        <v>221</v>
      </c>
      <c r="S114">
        <v>1.66</v>
      </c>
      <c r="T114" t="s">
        <v>222</v>
      </c>
      <c r="V114" t="s">
        <v>199</v>
      </c>
      <c r="W114">
        <v>43.6</v>
      </c>
      <c r="X114" t="s">
        <v>200</v>
      </c>
      <c r="Z114" t="s">
        <v>245</v>
      </c>
      <c r="AA114">
        <v>20.6</v>
      </c>
      <c r="AB114" t="s">
        <v>246</v>
      </c>
      <c r="AD114" t="s">
        <v>245</v>
      </c>
      <c r="AE114">
        <v>76.5</v>
      </c>
      <c r="AF114" t="s">
        <v>246</v>
      </c>
      <c r="AH114" t="s">
        <v>233</v>
      </c>
      <c r="AI114">
        <v>173.01</v>
      </c>
      <c r="AJ114">
        <v>158.94</v>
      </c>
      <c r="AK114">
        <v>5.68</v>
      </c>
      <c r="AL114">
        <v>5.21</v>
      </c>
      <c r="AN114" t="s">
        <v>241</v>
      </c>
      <c r="AO114">
        <v>15089</v>
      </c>
      <c r="AP114" t="s">
        <v>242</v>
      </c>
    </row>
    <row r="115" spans="2:42" x14ac:dyDescent="0.2">
      <c r="B115" t="s">
        <v>225</v>
      </c>
      <c r="C115">
        <v>5.9</v>
      </c>
      <c r="D115" t="s">
        <v>226</v>
      </c>
      <c r="F115" t="s">
        <v>213</v>
      </c>
      <c r="G115">
        <v>91.5</v>
      </c>
      <c r="H115" t="s">
        <v>214</v>
      </c>
      <c r="J115" t="s">
        <v>253</v>
      </c>
      <c r="K115">
        <v>9.6</v>
      </c>
      <c r="L115" t="s">
        <v>254</v>
      </c>
      <c r="N115" t="s">
        <v>201</v>
      </c>
      <c r="O115">
        <v>1</v>
      </c>
      <c r="P115" t="s">
        <v>202</v>
      </c>
      <c r="R115" t="s">
        <v>223</v>
      </c>
      <c r="S115">
        <v>1.93</v>
      </c>
      <c r="T115" t="s">
        <v>224</v>
      </c>
      <c r="V115" t="s">
        <v>201</v>
      </c>
      <c r="W115">
        <v>30.5</v>
      </c>
      <c r="X115" t="s">
        <v>202</v>
      </c>
      <c r="Z115" t="s">
        <v>247</v>
      </c>
      <c r="AA115">
        <v>5.6</v>
      </c>
      <c r="AB115" t="s">
        <v>248</v>
      </c>
      <c r="AD115" t="s">
        <v>247</v>
      </c>
      <c r="AE115">
        <v>60.2</v>
      </c>
      <c r="AF115" t="s">
        <v>248</v>
      </c>
      <c r="AH115" t="s">
        <v>235</v>
      </c>
      <c r="AI115">
        <v>170.29</v>
      </c>
      <c r="AJ115">
        <v>157.9</v>
      </c>
      <c r="AK115">
        <v>5.59</v>
      </c>
      <c r="AL115">
        <v>5.18</v>
      </c>
      <c r="AN115" t="s">
        <v>243</v>
      </c>
      <c r="AO115">
        <v>21977</v>
      </c>
      <c r="AP115" t="s">
        <v>244</v>
      </c>
    </row>
    <row r="116" spans="2:42" x14ac:dyDescent="0.2">
      <c r="B116" t="s">
        <v>227</v>
      </c>
      <c r="C116">
        <v>1.2</v>
      </c>
      <c r="D116" t="s">
        <v>228</v>
      </c>
      <c r="F116" t="s">
        <v>215</v>
      </c>
      <c r="G116">
        <v>100</v>
      </c>
      <c r="H116" t="s">
        <v>216</v>
      </c>
      <c r="J116" t="s">
        <v>255</v>
      </c>
      <c r="K116">
        <v>9.6</v>
      </c>
      <c r="L116" t="s">
        <v>256</v>
      </c>
      <c r="N116" t="s">
        <v>203</v>
      </c>
      <c r="O116">
        <v>0.98</v>
      </c>
      <c r="P116" t="s">
        <v>204</v>
      </c>
      <c r="R116" t="s">
        <v>225</v>
      </c>
      <c r="S116">
        <v>2.99</v>
      </c>
      <c r="T116" t="s">
        <v>226</v>
      </c>
      <c r="V116" t="s">
        <v>203</v>
      </c>
      <c r="W116">
        <v>24.2</v>
      </c>
      <c r="X116" t="s">
        <v>204</v>
      </c>
      <c r="Z116" t="s">
        <v>249</v>
      </c>
      <c r="AA116">
        <v>10.7</v>
      </c>
      <c r="AB116" t="s">
        <v>250</v>
      </c>
      <c r="AD116" t="s">
        <v>249</v>
      </c>
      <c r="AE116">
        <v>66.900000000000006</v>
      </c>
      <c r="AF116" t="s">
        <v>250</v>
      </c>
      <c r="AH116" t="s">
        <v>237</v>
      </c>
      <c r="AI116">
        <v>169.57</v>
      </c>
      <c r="AJ116">
        <v>159.66</v>
      </c>
      <c r="AK116">
        <v>5.56</v>
      </c>
      <c r="AL116">
        <v>5.24</v>
      </c>
      <c r="AN116" t="s">
        <v>245</v>
      </c>
      <c r="AO116">
        <v>9667</v>
      </c>
      <c r="AP116" t="s">
        <v>246</v>
      </c>
    </row>
    <row r="117" spans="2:42" x14ac:dyDescent="0.2">
      <c r="B117" t="s">
        <v>229</v>
      </c>
      <c r="C117">
        <v>4</v>
      </c>
      <c r="D117" t="s">
        <v>230</v>
      </c>
      <c r="F117" t="s">
        <v>217</v>
      </c>
      <c r="G117">
        <v>38.5</v>
      </c>
      <c r="H117" t="s">
        <v>218</v>
      </c>
      <c r="J117" t="s">
        <v>259</v>
      </c>
      <c r="K117">
        <v>11.6</v>
      </c>
      <c r="L117" t="s">
        <v>260</v>
      </c>
      <c r="N117" t="s">
        <v>205</v>
      </c>
      <c r="O117">
        <v>1</v>
      </c>
      <c r="P117" t="s">
        <v>206</v>
      </c>
      <c r="R117" t="s">
        <v>227</v>
      </c>
      <c r="S117">
        <v>0.4</v>
      </c>
      <c r="T117" t="s">
        <v>228</v>
      </c>
      <c r="V117" t="s">
        <v>205</v>
      </c>
      <c r="W117">
        <v>17.8</v>
      </c>
      <c r="X117" t="s">
        <v>206</v>
      </c>
      <c r="Z117" t="s">
        <v>251</v>
      </c>
      <c r="AA117">
        <v>34</v>
      </c>
      <c r="AB117" t="s">
        <v>252</v>
      </c>
      <c r="AD117" t="s">
        <v>251</v>
      </c>
      <c r="AE117">
        <v>63.4</v>
      </c>
      <c r="AF117" t="s">
        <v>252</v>
      </c>
      <c r="AH117" t="s">
        <v>239</v>
      </c>
      <c r="AI117">
        <v>175.59</v>
      </c>
      <c r="AJ117">
        <v>162.96</v>
      </c>
      <c r="AK117">
        <v>5.76</v>
      </c>
      <c r="AL117">
        <v>5.35</v>
      </c>
      <c r="AN117" t="s">
        <v>247</v>
      </c>
      <c r="AO117">
        <v>1372</v>
      </c>
      <c r="AP117" t="s">
        <v>248</v>
      </c>
    </row>
    <row r="118" spans="2:42" x14ac:dyDescent="0.2">
      <c r="B118" t="s">
        <v>231</v>
      </c>
      <c r="C118">
        <v>4.5999999999999996</v>
      </c>
      <c r="D118" t="s">
        <v>232</v>
      </c>
      <c r="F118" t="s">
        <v>219</v>
      </c>
      <c r="G118">
        <v>17.399999999999999</v>
      </c>
      <c r="H118" t="s">
        <v>220</v>
      </c>
      <c r="J118" t="s">
        <v>261</v>
      </c>
      <c r="K118">
        <v>11.9</v>
      </c>
      <c r="L118" t="s">
        <v>262</v>
      </c>
      <c r="N118" t="s">
        <v>207</v>
      </c>
      <c r="O118">
        <v>1.05</v>
      </c>
      <c r="P118" t="s">
        <v>208</v>
      </c>
      <c r="R118" t="s">
        <v>229</v>
      </c>
      <c r="S118">
        <v>0.11</v>
      </c>
      <c r="T118" t="s">
        <v>230</v>
      </c>
      <c r="V118" t="s">
        <v>207</v>
      </c>
      <c r="W118">
        <v>28.9</v>
      </c>
      <c r="X118" t="s">
        <v>208</v>
      </c>
      <c r="Z118" t="s">
        <v>253</v>
      </c>
      <c r="AA118">
        <v>10</v>
      </c>
      <c r="AB118" t="s">
        <v>254</v>
      </c>
      <c r="AD118" t="s">
        <v>253</v>
      </c>
      <c r="AE118">
        <v>70.5</v>
      </c>
      <c r="AF118" t="s">
        <v>254</v>
      </c>
      <c r="AH118" t="s">
        <v>241</v>
      </c>
      <c r="AI118">
        <v>170.67</v>
      </c>
      <c r="AJ118">
        <v>159.88999999999999</v>
      </c>
      <c r="AK118">
        <v>5.6</v>
      </c>
      <c r="AL118">
        <v>5.25</v>
      </c>
      <c r="AN118" t="s">
        <v>249</v>
      </c>
      <c r="AO118">
        <v>7220</v>
      </c>
      <c r="AP118" t="s">
        <v>250</v>
      </c>
    </row>
    <row r="119" spans="2:42" x14ac:dyDescent="0.2">
      <c r="B119" t="s">
        <v>233</v>
      </c>
      <c r="C119">
        <v>1.4</v>
      </c>
      <c r="D119" t="s">
        <v>234</v>
      </c>
      <c r="F119" t="s">
        <v>221</v>
      </c>
      <c r="G119">
        <v>77.2</v>
      </c>
      <c r="H119" t="s">
        <v>222</v>
      </c>
      <c r="J119" t="s">
        <v>263</v>
      </c>
      <c r="K119">
        <v>9</v>
      </c>
      <c r="L119" t="s">
        <v>264</v>
      </c>
      <c r="N119" t="s">
        <v>209</v>
      </c>
      <c r="O119">
        <v>0.99</v>
      </c>
      <c r="P119" t="s">
        <v>210</v>
      </c>
      <c r="R119" t="s">
        <v>231</v>
      </c>
      <c r="S119">
        <v>2.4900000000000002</v>
      </c>
      <c r="T119" t="s">
        <v>232</v>
      </c>
      <c r="V119" t="s">
        <v>209</v>
      </c>
      <c r="W119">
        <v>43.2</v>
      </c>
      <c r="X119" t="s">
        <v>210</v>
      </c>
      <c r="Z119" t="s">
        <v>255</v>
      </c>
      <c r="AA119">
        <v>89.3</v>
      </c>
      <c r="AB119" t="s">
        <v>256</v>
      </c>
      <c r="AD119" t="s">
        <v>255</v>
      </c>
      <c r="AE119">
        <v>82.1</v>
      </c>
      <c r="AF119" t="s">
        <v>256</v>
      </c>
      <c r="AH119" t="s">
        <v>243</v>
      </c>
      <c r="AI119">
        <v>183.3</v>
      </c>
      <c r="AJ119">
        <v>169.96</v>
      </c>
      <c r="AK119">
        <v>6.01</v>
      </c>
      <c r="AL119">
        <v>5.58</v>
      </c>
      <c r="AN119" t="s">
        <v>251</v>
      </c>
      <c r="AO119">
        <v>11451</v>
      </c>
      <c r="AP119" t="s">
        <v>252</v>
      </c>
    </row>
    <row r="120" spans="2:42" x14ac:dyDescent="0.2">
      <c r="B120" t="s">
        <v>235</v>
      </c>
      <c r="C120">
        <v>2.1</v>
      </c>
      <c r="D120" t="s">
        <v>236</v>
      </c>
      <c r="F120" t="s">
        <v>223</v>
      </c>
      <c r="G120">
        <v>40.700000000000003</v>
      </c>
      <c r="H120" t="s">
        <v>224</v>
      </c>
      <c r="J120" t="s">
        <v>265</v>
      </c>
      <c r="K120">
        <v>17.3</v>
      </c>
      <c r="L120" t="s">
        <v>266</v>
      </c>
      <c r="N120" t="s">
        <v>211</v>
      </c>
      <c r="O120">
        <v>0.86</v>
      </c>
      <c r="P120" t="s">
        <v>212</v>
      </c>
      <c r="R120" t="s">
        <v>233</v>
      </c>
      <c r="S120">
        <v>0.42</v>
      </c>
      <c r="T120" t="s">
        <v>234</v>
      </c>
      <c r="V120" t="s">
        <v>211</v>
      </c>
      <c r="W120">
        <v>43.7</v>
      </c>
      <c r="X120" t="s">
        <v>212</v>
      </c>
      <c r="Z120" t="s">
        <v>257</v>
      </c>
      <c r="AA120">
        <v>76.599999999999994</v>
      </c>
      <c r="AB120" t="s">
        <v>258</v>
      </c>
      <c r="AD120" t="s">
        <v>259</v>
      </c>
      <c r="AE120">
        <v>82.1</v>
      </c>
      <c r="AF120" t="s">
        <v>260</v>
      </c>
      <c r="AH120" t="s">
        <v>245</v>
      </c>
      <c r="AI120">
        <v>176.35</v>
      </c>
      <c r="AJ120">
        <v>161.18</v>
      </c>
      <c r="AK120">
        <v>5.79</v>
      </c>
      <c r="AL120">
        <v>5.29</v>
      </c>
      <c r="AN120" t="s">
        <v>404</v>
      </c>
      <c r="AO120">
        <v>9073</v>
      </c>
      <c r="AP120" t="s">
        <v>405</v>
      </c>
    </row>
    <row r="121" spans="2:42" x14ac:dyDescent="0.2">
      <c r="B121" t="s">
        <v>237</v>
      </c>
      <c r="C121">
        <v>3.1</v>
      </c>
      <c r="D121" t="s">
        <v>238</v>
      </c>
      <c r="F121" t="s">
        <v>225</v>
      </c>
      <c r="G121">
        <v>43.9</v>
      </c>
      <c r="H121" t="s">
        <v>226</v>
      </c>
      <c r="J121" t="s">
        <v>267</v>
      </c>
      <c r="K121">
        <v>10.6</v>
      </c>
      <c r="L121" t="s">
        <v>268</v>
      </c>
      <c r="N121" t="s">
        <v>213</v>
      </c>
      <c r="O121">
        <v>1.02</v>
      </c>
      <c r="P121" t="s">
        <v>214</v>
      </c>
      <c r="R121" t="s">
        <v>235</v>
      </c>
      <c r="S121">
        <v>1.24</v>
      </c>
      <c r="T121" t="s">
        <v>236</v>
      </c>
      <c r="V121" t="s">
        <v>213</v>
      </c>
      <c r="W121">
        <v>39.299999999999997</v>
      </c>
      <c r="X121" t="s">
        <v>214</v>
      </c>
      <c r="Z121" t="s">
        <v>259</v>
      </c>
      <c r="AA121">
        <v>142.1</v>
      </c>
      <c r="AB121" t="s">
        <v>260</v>
      </c>
      <c r="AD121" t="s">
        <v>261</v>
      </c>
      <c r="AE121">
        <v>74.3</v>
      </c>
      <c r="AF121" t="s">
        <v>262</v>
      </c>
      <c r="AH121" t="s">
        <v>247</v>
      </c>
      <c r="AI121">
        <v>164.3</v>
      </c>
      <c r="AJ121">
        <v>155.41999999999999</v>
      </c>
      <c r="AK121">
        <v>5.39</v>
      </c>
      <c r="AL121">
        <v>5.0999999999999996</v>
      </c>
      <c r="AN121" t="s">
        <v>253</v>
      </c>
      <c r="AO121">
        <v>3550</v>
      </c>
      <c r="AP121" t="s">
        <v>254</v>
      </c>
    </row>
    <row r="122" spans="2:42" x14ac:dyDescent="0.2">
      <c r="B122" t="s">
        <v>239</v>
      </c>
      <c r="C122">
        <v>1.3</v>
      </c>
      <c r="D122" t="s">
        <v>240</v>
      </c>
      <c r="F122" t="s">
        <v>227</v>
      </c>
      <c r="G122">
        <v>94.7</v>
      </c>
      <c r="H122" t="s">
        <v>228</v>
      </c>
      <c r="J122" t="s">
        <v>269</v>
      </c>
      <c r="K122">
        <v>6.2</v>
      </c>
      <c r="L122" t="s">
        <v>270</v>
      </c>
      <c r="N122" t="s">
        <v>215</v>
      </c>
      <c r="O122">
        <v>0.9</v>
      </c>
      <c r="P122" t="s">
        <v>216</v>
      </c>
      <c r="R122" t="s">
        <v>237</v>
      </c>
      <c r="S122">
        <v>-0.03</v>
      </c>
      <c r="T122" t="s">
        <v>238</v>
      </c>
      <c r="V122" t="s">
        <v>215</v>
      </c>
      <c r="W122">
        <v>39.299999999999997</v>
      </c>
      <c r="X122" t="s">
        <v>216</v>
      </c>
      <c r="Z122" t="s">
        <v>261</v>
      </c>
      <c r="AA122">
        <v>14.9</v>
      </c>
      <c r="AB122" t="s">
        <v>262</v>
      </c>
      <c r="AD122" t="s">
        <v>263</v>
      </c>
      <c r="AE122">
        <v>62</v>
      </c>
      <c r="AF122" t="s">
        <v>264</v>
      </c>
      <c r="AH122" t="s">
        <v>249</v>
      </c>
      <c r="AI122">
        <v>166.7</v>
      </c>
      <c r="AJ122">
        <v>154.71</v>
      </c>
      <c r="AK122">
        <v>5.47</v>
      </c>
      <c r="AL122">
        <v>5.08</v>
      </c>
      <c r="AN122" t="s">
        <v>255</v>
      </c>
      <c r="AO122">
        <v>60299</v>
      </c>
      <c r="AP122" t="s">
        <v>256</v>
      </c>
    </row>
    <row r="123" spans="2:42" x14ac:dyDescent="0.2">
      <c r="B123" t="s">
        <v>241</v>
      </c>
      <c r="C123">
        <v>2.9</v>
      </c>
      <c r="D123" t="s">
        <v>242</v>
      </c>
      <c r="F123" t="s">
        <v>229</v>
      </c>
      <c r="G123">
        <v>77.8</v>
      </c>
      <c r="H123" t="s">
        <v>230</v>
      </c>
      <c r="J123" t="s">
        <v>271</v>
      </c>
      <c r="K123">
        <v>10.1</v>
      </c>
      <c r="L123" t="s">
        <v>272</v>
      </c>
      <c r="N123" t="s">
        <v>217</v>
      </c>
      <c r="O123">
        <v>1</v>
      </c>
      <c r="P123" t="s">
        <v>218</v>
      </c>
      <c r="R123" t="s">
        <v>239</v>
      </c>
      <c r="S123">
        <v>-0.04</v>
      </c>
      <c r="T123" t="s">
        <v>240</v>
      </c>
      <c r="V123" t="s">
        <v>269</v>
      </c>
      <c r="W123">
        <v>37.9</v>
      </c>
      <c r="X123" t="s">
        <v>270</v>
      </c>
      <c r="Z123" t="s">
        <v>263</v>
      </c>
      <c r="AA123">
        <v>11.2</v>
      </c>
      <c r="AB123" t="s">
        <v>264</v>
      </c>
      <c r="AD123" t="s">
        <v>265</v>
      </c>
      <c r="AE123">
        <v>54.3</v>
      </c>
      <c r="AF123" t="s">
        <v>266</v>
      </c>
      <c r="AH123" t="s">
        <v>251</v>
      </c>
      <c r="AI123">
        <v>169.75</v>
      </c>
      <c r="AJ123">
        <v>160.26</v>
      </c>
      <c r="AK123">
        <v>5.57</v>
      </c>
      <c r="AL123">
        <v>5.26</v>
      </c>
      <c r="AN123" t="s">
        <v>259</v>
      </c>
      <c r="AO123">
        <v>42045</v>
      </c>
      <c r="AP123" t="s">
        <v>260</v>
      </c>
    </row>
    <row r="124" spans="2:42" x14ac:dyDescent="0.2">
      <c r="B124" t="s">
        <v>243</v>
      </c>
      <c r="C124">
        <v>1.7</v>
      </c>
      <c r="D124" t="s">
        <v>244</v>
      </c>
      <c r="F124" t="s">
        <v>231</v>
      </c>
      <c r="G124">
        <v>55.3</v>
      </c>
      <c r="H124" t="s">
        <v>232</v>
      </c>
      <c r="J124" t="s">
        <v>273</v>
      </c>
      <c r="K124">
        <v>3.5</v>
      </c>
      <c r="L124" t="s">
        <v>274</v>
      </c>
      <c r="N124" t="s">
        <v>219</v>
      </c>
      <c r="O124">
        <v>0.98</v>
      </c>
      <c r="P124" t="s">
        <v>220</v>
      </c>
      <c r="R124" t="s">
        <v>402</v>
      </c>
      <c r="S124">
        <v>0.85</v>
      </c>
      <c r="T124" t="s">
        <v>403</v>
      </c>
      <c r="V124" t="s">
        <v>217</v>
      </c>
      <c r="W124">
        <v>19.7</v>
      </c>
      <c r="X124" t="s">
        <v>218</v>
      </c>
      <c r="Z124" t="s">
        <v>265</v>
      </c>
      <c r="AA124">
        <v>8.6</v>
      </c>
      <c r="AB124" t="s">
        <v>266</v>
      </c>
      <c r="AD124" t="s">
        <v>269</v>
      </c>
      <c r="AE124">
        <v>75.7</v>
      </c>
      <c r="AF124" t="s">
        <v>270</v>
      </c>
      <c r="AH124" t="s">
        <v>404</v>
      </c>
      <c r="AI124">
        <v>169.57</v>
      </c>
      <c r="AJ124">
        <v>157.82</v>
      </c>
      <c r="AK124">
        <v>5.56</v>
      </c>
      <c r="AL124">
        <v>5.18</v>
      </c>
      <c r="AN124" t="s">
        <v>261</v>
      </c>
      <c r="AO124">
        <v>5297</v>
      </c>
      <c r="AP124" t="s">
        <v>262</v>
      </c>
    </row>
    <row r="125" spans="2:42" x14ac:dyDescent="0.2">
      <c r="B125" t="s">
        <v>245</v>
      </c>
      <c r="C125">
        <v>3.1</v>
      </c>
      <c r="D125" t="s">
        <v>246</v>
      </c>
      <c r="F125" t="s">
        <v>233</v>
      </c>
      <c r="G125">
        <v>40.799999999999997</v>
      </c>
      <c r="H125" t="s">
        <v>234</v>
      </c>
      <c r="J125" t="s">
        <v>275</v>
      </c>
      <c r="K125">
        <v>3.1</v>
      </c>
      <c r="L125" t="s">
        <v>276</v>
      </c>
      <c r="N125" t="s">
        <v>221</v>
      </c>
      <c r="O125">
        <v>1.03</v>
      </c>
      <c r="P125" t="s">
        <v>222</v>
      </c>
      <c r="R125" t="s">
        <v>241</v>
      </c>
      <c r="S125">
        <v>1.52</v>
      </c>
      <c r="T125" t="s">
        <v>242</v>
      </c>
      <c r="V125" t="s">
        <v>219</v>
      </c>
      <c r="W125">
        <v>16.5</v>
      </c>
      <c r="X125" t="s">
        <v>220</v>
      </c>
      <c r="Z125" t="s">
        <v>267</v>
      </c>
      <c r="AA125">
        <v>10.8</v>
      </c>
      <c r="AB125" t="s">
        <v>268</v>
      </c>
      <c r="AD125" t="s">
        <v>271</v>
      </c>
      <c r="AE125">
        <v>82.5</v>
      </c>
      <c r="AF125" t="s">
        <v>272</v>
      </c>
      <c r="AH125" t="s">
        <v>253</v>
      </c>
      <c r="AI125">
        <v>164.36</v>
      </c>
      <c r="AJ125">
        <v>152.38999999999999</v>
      </c>
      <c r="AK125">
        <v>5.39</v>
      </c>
      <c r="AL125">
        <v>5</v>
      </c>
      <c r="AN125" t="s">
        <v>263</v>
      </c>
      <c r="AO125">
        <v>1152</v>
      </c>
      <c r="AP125" t="s">
        <v>264</v>
      </c>
    </row>
    <row r="126" spans="2:42" x14ac:dyDescent="0.2">
      <c r="B126" t="s">
        <v>247</v>
      </c>
      <c r="C126">
        <v>4.9000000000000004</v>
      </c>
      <c r="D126" t="s">
        <v>248</v>
      </c>
      <c r="F126" t="s">
        <v>235</v>
      </c>
      <c r="G126">
        <v>80.7</v>
      </c>
      <c r="H126" t="s">
        <v>236</v>
      </c>
      <c r="J126" t="s">
        <v>279</v>
      </c>
      <c r="K126">
        <v>4.4000000000000004</v>
      </c>
      <c r="L126" t="s">
        <v>280</v>
      </c>
      <c r="N126" t="s">
        <v>223</v>
      </c>
      <c r="O126">
        <v>1.1299999999999999</v>
      </c>
      <c r="P126" t="s">
        <v>224</v>
      </c>
      <c r="R126" t="s">
        <v>243</v>
      </c>
      <c r="S126">
        <v>7.0000000000000007E-2</v>
      </c>
      <c r="T126" t="s">
        <v>244</v>
      </c>
      <c r="V126" t="s">
        <v>221</v>
      </c>
      <c r="W126">
        <v>28.5</v>
      </c>
      <c r="X126" t="s">
        <v>222</v>
      </c>
      <c r="Z126" t="s">
        <v>269</v>
      </c>
      <c r="AA126">
        <v>35.4</v>
      </c>
      <c r="AB126" t="s">
        <v>270</v>
      </c>
      <c r="AD126" t="s">
        <v>273</v>
      </c>
      <c r="AE126">
        <v>77.599999999999994</v>
      </c>
      <c r="AF126" t="s">
        <v>274</v>
      </c>
      <c r="AH126" t="s">
        <v>255</v>
      </c>
      <c r="AI126">
        <v>183.78</v>
      </c>
      <c r="AJ126">
        <v>170.36</v>
      </c>
      <c r="AK126">
        <v>6.03</v>
      </c>
      <c r="AL126">
        <v>5.59</v>
      </c>
      <c r="AN126" t="s">
        <v>265</v>
      </c>
      <c r="AO126">
        <v>6172</v>
      </c>
      <c r="AP126" t="s">
        <v>266</v>
      </c>
    </row>
    <row r="127" spans="2:42" x14ac:dyDescent="0.2">
      <c r="B127" t="s">
        <v>249</v>
      </c>
      <c r="C127">
        <v>2.2000000000000002</v>
      </c>
      <c r="D127" t="s">
        <v>250</v>
      </c>
      <c r="F127" t="s">
        <v>239</v>
      </c>
      <c r="G127">
        <v>42.8</v>
      </c>
      <c r="H127" t="s">
        <v>240</v>
      </c>
      <c r="J127" t="s">
        <v>281</v>
      </c>
      <c r="K127">
        <v>7</v>
      </c>
      <c r="L127" t="s">
        <v>282</v>
      </c>
      <c r="N127" t="s">
        <v>225</v>
      </c>
      <c r="O127">
        <v>0.95</v>
      </c>
      <c r="P127" t="s">
        <v>226</v>
      </c>
      <c r="R127" t="s">
        <v>245</v>
      </c>
      <c r="S127">
        <v>1.43</v>
      </c>
      <c r="T127" t="s">
        <v>246</v>
      </c>
      <c r="V127" t="s">
        <v>223</v>
      </c>
      <c r="W127">
        <v>28.2</v>
      </c>
      <c r="X127" t="s">
        <v>224</v>
      </c>
      <c r="Z127" t="s">
        <v>271</v>
      </c>
      <c r="AA127">
        <v>61.7</v>
      </c>
      <c r="AB127" t="s">
        <v>272</v>
      </c>
      <c r="AD127" t="s">
        <v>275</v>
      </c>
      <c r="AE127">
        <v>67.099999999999994</v>
      </c>
      <c r="AF127" t="s">
        <v>276</v>
      </c>
      <c r="AH127" t="s">
        <v>259</v>
      </c>
      <c r="AI127">
        <v>177.72</v>
      </c>
      <c r="AJ127">
        <v>164.66</v>
      </c>
      <c r="AK127">
        <v>5.83</v>
      </c>
      <c r="AL127">
        <v>5.4</v>
      </c>
      <c r="AN127" t="s">
        <v>269</v>
      </c>
      <c r="AO127">
        <v>17378</v>
      </c>
      <c r="AP127" t="s">
        <v>270</v>
      </c>
    </row>
    <row r="128" spans="2:42" x14ac:dyDescent="0.2">
      <c r="B128" t="s">
        <v>251</v>
      </c>
      <c r="C128">
        <v>3.4</v>
      </c>
      <c r="D128" t="s">
        <v>252</v>
      </c>
      <c r="F128" t="s">
        <v>402</v>
      </c>
      <c r="G128">
        <v>100</v>
      </c>
      <c r="H128" t="s">
        <v>403</v>
      </c>
      <c r="J128" t="s">
        <v>283</v>
      </c>
      <c r="K128">
        <v>9.3000000000000007</v>
      </c>
      <c r="L128" t="s">
        <v>284</v>
      </c>
      <c r="N128" t="s">
        <v>227</v>
      </c>
      <c r="O128">
        <v>1.01</v>
      </c>
      <c r="P128" t="s">
        <v>228</v>
      </c>
      <c r="R128" t="s">
        <v>247</v>
      </c>
      <c r="S128">
        <v>2.5</v>
      </c>
      <c r="T128" t="s">
        <v>248</v>
      </c>
      <c r="V128" t="s">
        <v>225</v>
      </c>
      <c r="W128">
        <v>15.8</v>
      </c>
      <c r="X128" t="s">
        <v>226</v>
      </c>
      <c r="Z128" t="s">
        <v>273</v>
      </c>
      <c r="AA128">
        <v>49.8</v>
      </c>
      <c r="AB128" t="s">
        <v>274</v>
      </c>
      <c r="AD128" t="s">
        <v>277</v>
      </c>
      <c r="AE128">
        <v>73.7</v>
      </c>
      <c r="AF128" t="s">
        <v>278</v>
      </c>
      <c r="AH128" t="s">
        <v>261</v>
      </c>
      <c r="AI128">
        <v>169.91</v>
      </c>
      <c r="AJ128">
        <v>155.62</v>
      </c>
      <c r="AK128">
        <v>5.57</v>
      </c>
      <c r="AL128">
        <v>5.1100000000000003</v>
      </c>
      <c r="AN128" t="s">
        <v>271</v>
      </c>
      <c r="AO128">
        <v>79638</v>
      </c>
      <c r="AP128" t="s">
        <v>272</v>
      </c>
    </row>
    <row r="129" spans="2:42" x14ac:dyDescent="0.2">
      <c r="B129" t="s">
        <v>253</v>
      </c>
      <c r="C129">
        <v>1.9</v>
      </c>
      <c r="D129" t="s">
        <v>254</v>
      </c>
      <c r="F129" t="s">
        <v>241</v>
      </c>
      <c r="G129">
        <v>68.7</v>
      </c>
      <c r="H129" t="s">
        <v>242</v>
      </c>
      <c r="J129" t="s">
        <v>285</v>
      </c>
      <c r="K129">
        <v>5.0999999999999996</v>
      </c>
      <c r="L129" t="s">
        <v>286</v>
      </c>
      <c r="N129" t="s">
        <v>229</v>
      </c>
      <c r="O129">
        <v>1.03</v>
      </c>
      <c r="P129" t="s">
        <v>230</v>
      </c>
      <c r="R129" t="s">
        <v>249</v>
      </c>
      <c r="S129">
        <v>0.85</v>
      </c>
      <c r="T129" t="s">
        <v>250</v>
      </c>
      <c r="V129" t="s">
        <v>227</v>
      </c>
      <c r="W129">
        <v>41.8</v>
      </c>
      <c r="X129" t="s">
        <v>228</v>
      </c>
      <c r="Z129" t="s">
        <v>275</v>
      </c>
      <c r="AA129">
        <v>12.3</v>
      </c>
      <c r="AB129" t="s">
        <v>276</v>
      </c>
      <c r="AD129" t="s">
        <v>426</v>
      </c>
      <c r="AE129">
        <v>73.900000000000006</v>
      </c>
      <c r="AF129" t="s">
        <v>427</v>
      </c>
      <c r="AH129" t="s">
        <v>263</v>
      </c>
      <c r="AI129">
        <v>170.26</v>
      </c>
      <c r="AJ129">
        <v>159.81</v>
      </c>
      <c r="AK129">
        <v>5.59</v>
      </c>
      <c r="AL129">
        <v>5.24</v>
      </c>
      <c r="AN129" t="s">
        <v>273</v>
      </c>
      <c r="AO129">
        <v>48593</v>
      </c>
      <c r="AP129" t="s">
        <v>274</v>
      </c>
    </row>
    <row r="130" spans="2:42" x14ac:dyDescent="0.2">
      <c r="B130" t="s">
        <v>255</v>
      </c>
      <c r="C130">
        <v>1.6</v>
      </c>
      <c r="D130" t="s">
        <v>256</v>
      </c>
      <c r="F130" t="s">
        <v>243</v>
      </c>
      <c r="G130">
        <v>67.5</v>
      </c>
      <c r="H130" t="s">
        <v>244</v>
      </c>
      <c r="J130" t="s">
        <v>287</v>
      </c>
      <c r="K130">
        <v>3.7</v>
      </c>
      <c r="L130" t="s">
        <v>288</v>
      </c>
      <c r="N130" t="s">
        <v>231</v>
      </c>
      <c r="O130">
        <v>0.93</v>
      </c>
      <c r="P130" t="s">
        <v>232</v>
      </c>
      <c r="R130" t="s">
        <v>251</v>
      </c>
      <c r="S130">
        <v>1.87</v>
      </c>
      <c r="T130" t="s">
        <v>252</v>
      </c>
      <c r="V130" t="s">
        <v>229</v>
      </c>
      <c r="W130">
        <v>22.9</v>
      </c>
      <c r="X130" t="s">
        <v>230</v>
      </c>
      <c r="Z130" t="s">
        <v>279</v>
      </c>
      <c r="AA130">
        <v>54.5</v>
      </c>
      <c r="AB130" t="s">
        <v>280</v>
      </c>
      <c r="AD130" t="s">
        <v>279</v>
      </c>
      <c r="AE130">
        <v>78.3</v>
      </c>
      <c r="AF130" t="s">
        <v>280</v>
      </c>
      <c r="AH130" t="s">
        <v>265</v>
      </c>
      <c r="AI130">
        <v>171.55</v>
      </c>
      <c r="AJ130">
        <v>158.13999999999999</v>
      </c>
      <c r="AK130">
        <v>5.63</v>
      </c>
      <c r="AL130">
        <v>5.19</v>
      </c>
      <c r="AN130" t="s">
        <v>275</v>
      </c>
      <c r="AO130">
        <v>6016</v>
      </c>
      <c r="AP130" t="s">
        <v>276</v>
      </c>
    </row>
    <row r="131" spans="2:42" x14ac:dyDescent="0.2">
      <c r="B131" t="s">
        <v>257</v>
      </c>
      <c r="C131">
        <v>2</v>
      </c>
      <c r="D131" t="s">
        <v>258</v>
      </c>
      <c r="F131" t="s">
        <v>448</v>
      </c>
      <c r="G131">
        <v>9.1</v>
      </c>
      <c r="H131" t="s">
        <v>449</v>
      </c>
      <c r="J131" t="s">
        <v>289</v>
      </c>
      <c r="K131">
        <v>13.4</v>
      </c>
      <c r="L131" t="s">
        <v>290</v>
      </c>
      <c r="N131" t="s">
        <v>233</v>
      </c>
      <c r="O131">
        <v>0.96</v>
      </c>
      <c r="P131" t="s">
        <v>234</v>
      </c>
      <c r="R131" t="s">
        <v>253</v>
      </c>
      <c r="S131">
        <v>1.1599999999999999</v>
      </c>
      <c r="T131" t="s">
        <v>254</v>
      </c>
      <c r="V131" t="s">
        <v>231</v>
      </c>
      <c r="W131">
        <v>20.5</v>
      </c>
      <c r="X131" t="s">
        <v>232</v>
      </c>
      <c r="Z131" t="s">
        <v>281</v>
      </c>
      <c r="AA131">
        <v>73</v>
      </c>
      <c r="AB131" t="s">
        <v>282</v>
      </c>
      <c r="AD131" t="s">
        <v>281</v>
      </c>
      <c r="AE131">
        <v>64.3</v>
      </c>
      <c r="AF131" t="s">
        <v>282</v>
      </c>
      <c r="AH131" t="s">
        <v>436</v>
      </c>
      <c r="AI131">
        <v>177.19</v>
      </c>
      <c r="AJ131">
        <v>167.03</v>
      </c>
      <c r="AK131">
        <v>5.81</v>
      </c>
      <c r="AL131">
        <v>5.48</v>
      </c>
      <c r="AN131" t="s">
        <v>277</v>
      </c>
      <c r="AO131">
        <v>16855</v>
      </c>
      <c r="AP131" t="s">
        <v>278</v>
      </c>
    </row>
    <row r="132" spans="2:42" x14ac:dyDescent="0.2">
      <c r="B132" t="s">
        <v>259</v>
      </c>
      <c r="C132">
        <v>1.7</v>
      </c>
      <c r="D132" t="s">
        <v>260</v>
      </c>
      <c r="F132" t="s">
        <v>245</v>
      </c>
      <c r="G132">
        <v>63.5</v>
      </c>
      <c r="H132" t="s">
        <v>246</v>
      </c>
      <c r="J132" t="s">
        <v>291</v>
      </c>
      <c r="K132">
        <v>8.6</v>
      </c>
      <c r="L132" t="s">
        <v>292</v>
      </c>
      <c r="N132" t="s">
        <v>235</v>
      </c>
      <c r="O132">
        <v>0.96</v>
      </c>
      <c r="P132" t="s">
        <v>236</v>
      </c>
      <c r="R132" t="s">
        <v>255</v>
      </c>
      <c r="S132">
        <v>0.45</v>
      </c>
      <c r="T132" t="s">
        <v>256</v>
      </c>
      <c r="V132" t="s">
        <v>233</v>
      </c>
      <c r="W132">
        <v>35.299999999999997</v>
      </c>
      <c r="X132" t="s">
        <v>234</v>
      </c>
      <c r="Z132" t="s">
        <v>283</v>
      </c>
      <c r="AA132">
        <v>70.3</v>
      </c>
      <c r="AB132" t="s">
        <v>284</v>
      </c>
      <c r="AD132" t="s">
        <v>283</v>
      </c>
      <c r="AE132">
        <v>74.099999999999994</v>
      </c>
      <c r="AF132" t="s">
        <v>284</v>
      </c>
      <c r="AH132" t="s">
        <v>267</v>
      </c>
      <c r="AI132">
        <v>174.69</v>
      </c>
      <c r="AJ132">
        <v>161.22</v>
      </c>
      <c r="AK132">
        <v>5.73</v>
      </c>
      <c r="AL132">
        <v>5.29</v>
      </c>
      <c r="AN132" t="s">
        <v>279</v>
      </c>
      <c r="AO132">
        <v>28456</v>
      </c>
      <c r="AP132" t="s">
        <v>280</v>
      </c>
    </row>
    <row r="133" spans="2:42" x14ac:dyDescent="0.2">
      <c r="B133" t="s">
        <v>261</v>
      </c>
      <c r="C133">
        <v>2.4</v>
      </c>
      <c r="D133" t="s">
        <v>262</v>
      </c>
      <c r="F133" t="s">
        <v>247</v>
      </c>
      <c r="G133">
        <v>37.1</v>
      </c>
      <c r="H133" t="s">
        <v>248</v>
      </c>
      <c r="J133" t="s">
        <v>293</v>
      </c>
      <c r="K133">
        <v>5.8</v>
      </c>
      <c r="L133" t="s">
        <v>294</v>
      </c>
      <c r="N133" t="s">
        <v>237</v>
      </c>
      <c r="O133">
        <v>0.97</v>
      </c>
      <c r="P133" t="s">
        <v>238</v>
      </c>
      <c r="R133" t="s">
        <v>257</v>
      </c>
      <c r="S133">
        <v>1.6</v>
      </c>
      <c r="T133" t="s">
        <v>258</v>
      </c>
      <c r="V133" t="s">
        <v>235</v>
      </c>
      <c r="W133">
        <v>28.3</v>
      </c>
      <c r="X133" t="s">
        <v>236</v>
      </c>
      <c r="Z133" t="s">
        <v>285</v>
      </c>
      <c r="AA133">
        <v>34.5</v>
      </c>
      <c r="AB133" t="s">
        <v>286</v>
      </c>
      <c r="AD133" t="s">
        <v>285</v>
      </c>
      <c r="AE133">
        <v>76.5</v>
      </c>
      <c r="AF133" t="s">
        <v>286</v>
      </c>
      <c r="AH133" t="s">
        <v>269</v>
      </c>
      <c r="AI133">
        <v>176.43</v>
      </c>
      <c r="AJ133">
        <v>160.88</v>
      </c>
      <c r="AK133">
        <v>5.79</v>
      </c>
      <c r="AL133">
        <v>5.28</v>
      </c>
      <c r="AN133" t="s">
        <v>281</v>
      </c>
      <c r="AO133">
        <v>4081</v>
      </c>
      <c r="AP133" t="s">
        <v>282</v>
      </c>
    </row>
    <row r="134" spans="2:42" x14ac:dyDescent="0.2">
      <c r="B134" t="s">
        <v>263</v>
      </c>
      <c r="C134">
        <v>5.3</v>
      </c>
      <c r="D134" t="s">
        <v>264</v>
      </c>
      <c r="F134" t="s">
        <v>249</v>
      </c>
      <c r="G134">
        <v>31.1</v>
      </c>
      <c r="H134" t="s">
        <v>250</v>
      </c>
      <c r="J134" t="s">
        <v>295</v>
      </c>
      <c r="K134">
        <v>9.3000000000000007</v>
      </c>
      <c r="L134" t="s">
        <v>296</v>
      </c>
      <c r="N134" t="s">
        <v>239</v>
      </c>
      <c r="O134">
        <v>0.96</v>
      </c>
      <c r="P134" t="s">
        <v>240</v>
      </c>
      <c r="R134" t="s">
        <v>259</v>
      </c>
      <c r="S134">
        <v>0.63</v>
      </c>
      <c r="T134" t="s">
        <v>260</v>
      </c>
      <c r="V134" t="s">
        <v>237</v>
      </c>
      <c r="W134">
        <v>25.1</v>
      </c>
      <c r="X134" t="s">
        <v>238</v>
      </c>
      <c r="Z134" t="s">
        <v>287</v>
      </c>
      <c r="AA134">
        <v>31.1</v>
      </c>
      <c r="AB134" t="s">
        <v>288</v>
      </c>
      <c r="AD134" t="s">
        <v>287</v>
      </c>
      <c r="AE134">
        <v>71.099999999999994</v>
      </c>
      <c r="AF134" t="s">
        <v>288</v>
      </c>
      <c r="AH134" t="s">
        <v>271</v>
      </c>
      <c r="AI134">
        <v>180.48</v>
      </c>
      <c r="AJ134">
        <v>166.45</v>
      </c>
      <c r="AK134">
        <v>5.92</v>
      </c>
      <c r="AL134">
        <v>5.46</v>
      </c>
      <c r="AN134" t="s">
        <v>283</v>
      </c>
      <c r="AO134">
        <v>13213</v>
      </c>
      <c r="AP134" t="s">
        <v>284</v>
      </c>
    </row>
    <row r="135" spans="2:42" x14ac:dyDescent="0.2">
      <c r="B135" t="s">
        <v>265</v>
      </c>
      <c r="C135">
        <v>5.4</v>
      </c>
      <c r="D135" t="s">
        <v>266</v>
      </c>
      <c r="F135" t="s">
        <v>251</v>
      </c>
      <c r="G135">
        <v>52</v>
      </c>
      <c r="H135" t="s">
        <v>252</v>
      </c>
      <c r="J135" t="s">
        <v>297</v>
      </c>
      <c r="K135">
        <v>8</v>
      </c>
      <c r="L135" t="s">
        <v>298</v>
      </c>
      <c r="N135" t="s">
        <v>402</v>
      </c>
      <c r="O135">
        <v>0.94</v>
      </c>
      <c r="P135" t="s">
        <v>403</v>
      </c>
      <c r="R135" t="s">
        <v>261</v>
      </c>
      <c r="S135">
        <v>1.46</v>
      </c>
      <c r="T135" t="s">
        <v>262</v>
      </c>
      <c r="V135" t="s">
        <v>239</v>
      </c>
      <c r="W135">
        <v>36.700000000000003</v>
      </c>
      <c r="X135" t="s">
        <v>240</v>
      </c>
      <c r="Z135" t="s">
        <v>289</v>
      </c>
      <c r="AA135">
        <v>78.099999999999994</v>
      </c>
      <c r="AB135" t="s">
        <v>290</v>
      </c>
      <c r="AD135" t="s">
        <v>289</v>
      </c>
      <c r="AE135">
        <v>78.5</v>
      </c>
      <c r="AF135" t="s">
        <v>290</v>
      </c>
      <c r="AH135" t="s">
        <v>273</v>
      </c>
      <c r="AI135">
        <v>171.7</v>
      </c>
      <c r="AJ135">
        <v>158.44</v>
      </c>
      <c r="AK135">
        <v>5.63</v>
      </c>
      <c r="AL135">
        <v>5.2</v>
      </c>
      <c r="AN135" t="s">
        <v>285</v>
      </c>
      <c r="AO135">
        <v>15399</v>
      </c>
      <c r="AP135" t="s">
        <v>286</v>
      </c>
    </row>
    <row r="136" spans="2:42" x14ac:dyDescent="0.2">
      <c r="B136" t="s">
        <v>267</v>
      </c>
      <c r="C136">
        <v>1.9</v>
      </c>
      <c r="D136" t="s">
        <v>268</v>
      </c>
      <c r="F136" t="s">
        <v>404</v>
      </c>
      <c r="G136">
        <v>100</v>
      </c>
      <c r="H136" t="s">
        <v>405</v>
      </c>
      <c r="J136" t="s">
        <v>299</v>
      </c>
      <c r="K136">
        <v>26.5</v>
      </c>
      <c r="L136" t="s">
        <v>300</v>
      </c>
      <c r="N136" t="s">
        <v>241</v>
      </c>
      <c r="O136">
        <v>0.95</v>
      </c>
      <c r="P136" t="s">
        <v>242</v>
      </c>
      <c r="R136" t="s">
        <v>263</v>
      </c>
      <c r="S136">
        <v>3.84</v>
      </c>
      <c r="T136" t="s">
        <v>264</v>
      </c>
      <c r="V136" t="s">
        <v>402</v>
      </c>
      <c r="W136">
        <v>53.1</v>
      </c>
      <c r="X136" t="s">
        <v>403</v>
      </c>
      <c r="Z136" t="s">
        <v>291</v>
      </c>
      <c r="AA136">
        <v>91.1</v>
      </c>
      <c r="AB136" t="s">
        <v>292</v>
      </c>
      <c r="AD136" t="s">
        <v>291</v>
      </c>
      <c r="AE136">
        <v>81.900000000000006</v>
      </c>
      <c r="AF136" t="s">
        <v>292</v>
      </c>
      <c r="AH136" t="s">
        <v>275</v>
      </c>
      <c r="AI136">
        <v>167.33</v>
      </c>
      <c r="AJ136">
        <v>154.77000000000001</v>
      </c>
      <c r="AK136">
        <v>5.49</v>
      </c>
      <c r="AL136">
        <v>5.08</v>
      </c>
      <c r="AN136" t="s">
        <v>287</v>
      </c>
      <c r="AO136">
        <v>10094</v>
      </c>
      <c r="AP136" t="s">
        <v>288</v>
      </c>
    </row>
    <row r="137" spans="2:42" x14ac:dyDescent="0.2">
      <c r="B137" t="s">
        <v>269</v>
      </c>
      <c r="C137">
        <v>1.5</v>
      </c>
      <c r="D137" t="s">
        <v>270</v>
      </c>
      <c r="F137" t="s">
        <v>253</v>
      </c>
      <c r="G137">
        <v>20.6</v>
      </c>
      <c r="H137" t="s">
        <v>254</v>
      </c>
      <c r="J137" t="s">
        <v>301</v>
      </c>
      <c r="K137">
        <v>11</v>
      </c>
      <c r="L137" t="s">
        <v>302</v>
      </c>
      <c r="N137" t="s">
        <v>243</v>
      </c>
      <c r="O137">
        <v>0.97</v>
      </c>
      <c r="P137" t="s">
        <v>244</v>
      </c>
      <c r="R137" t="s">
        <v>265</v>
      </c>
      <c r="S137">
        <v>2.79</v>
      </c>
      <c r="T137" t="s">
        <v>266</v>
      </c>
      <c r="V137" t="s">
        <v>241</v>
      </c>
      <c r="W137">
        <v>28.3</v>
      </c>
      <c r="X137" t="s">
        <v>242</v>
      </c>
      <c r="Z137" t="s">
        <v>293</v>
      </c>
      <c r="AA137">
        <v>90.5</v>
      </c>
      <c r="AB137" t="s">
        <v>294</v>
      </c>
      <c r="AD137" t="s">
        <v>295</v>
      </c>
      <c r="AE137">
        <v>64.3</v>
      </c>
      <c r="AF137" t="s">
        <v>296</v>
      </c>
      <c r="AH137" t="s">
        <v>277</v>
      </c>
      <c r="AI137">
        <v>170.62</v>
      </c>
      <c r="AJ137">
        <v>159.52000000000001</v>
      </c>
      <c r="AK137">
        <v>5.6</v>
      </c>
      <c r="AL137">
        <v>5.23</v>
      </c>
      <c r="AN137" t="s">
        <v>289</v>
      </c>
      <c r="AO137">
        <v>35651</v>
      </c>
      <c r="AP137" t="s">
        <v>290</v>
      </c>
    </row>
    <row r="138" spans="2:42" x14ac:dyDescent="0.2">
      <c r="B138" t="s">
        <v>271</v>
      </c>
      <c r="C138">
        <v>1.6</v>
      </c>
      <c r="D138" t="s">
        <v>272</v>
      </c>
      <c r="F138" t="s">
        <v>255</v>
      </c>
      <c r="G138">
        <v>92.2</v>
      </c>
      <c r="H138" t="s">
        <v>256</v>
      </c>
      <c r="J138" t="s">
        <v>446</v>
      </c>
      <c r="K138">
        <v>7.3</v>
      </c>
      <c r="L138" t="s">
        <v>447</v>
      </c>
      <c r="N138" t="s">
        <v>448</v>
      </c>
      <c r="O138">
        <v>1</v>
      </c>
      <c r="P138" t="s">
        <v>449</v>
      </c>
      <c r="R138" t="s">
        <v>267</v>
      </c>
      <c r="S138">
        <v>0.53</v>
      </c>
      <c r="T138" t="s">
        <v>268</v>
      </c>
      <c r="V138" t="s">
        <v>243</v>
      </c>
      <c r="W138">
        <v>40.700000000000003</v>
      </c>
      <c r="X138" t="s">
        <v>244</v>
      </c>
      <c r="Z138" t="s">
        <v>295</v>
      </c>
      <c r="AA138">
        <v>13.3</v>
      </c>
      <c r="AB138" t="s">
        <v>296</v>
      </c>
      <c r="AD138" t="s">
        <v>297</v>
      </c>
      <c r="AE138">
        <v>75.900000000000006</v>
      </c>
      <c r="AF138" t="s">
        <v>298</v>
      </c>
      <c r="AH138" t="s">
        <v>426</v>
      </c>
      <c r="AI138">
        <v>175.05</v>
      </c>
      <c r="AJ138">
        <v>161.28</v>
      </c>
      <c r="AK138">
        <v>5.74</v>
      </c>
      <c r="AL138">
        <v>5.29</v>
      </c>
      <c r="AN138" t="s">
        <v>291</v>
      </c>
      <c r="AO138">
        <v>34936</v>
      </c>
      <c r="AP138" t="s">
        <v>292</v>
      </c>
    </row>
    <row r="139" spans="2:42" x14ac:dyDescent="0.2">
      <c r="B139" t="s">
        <v>273</v>
      </c>
      <c r="C139">
        <v>2.9</v>
      </c>
      <c r="D139" t="s">
        <v>274</v>
      </c>
      <c r="F139" t="s">
        <v>257</v>
      </c>
      <c r="G139">
        <v>71.5</v>
      </c>
      <c r="H139" t="s">
        <v>258</v>
      </c>
      <c r="J139" t="s">
        <v>434</v>
      </c>
      <c r="K139">
        <v>2.4</v>
      </c>
      <c r="L139" t="s">
        <v>435</v>
      </c>
      <c r="N139" t="s">
        <v>245</v>
      </c>
      <c r="O139">
        <v>1</v>
      </c>
      <c r="P139" t="s">
        <v>246</v>
      </c>
      <c r="R139" t="s">
        <v>269</v>
      </c>
      <c r="S139">
        <v>0.08</v>
      </c>
      <c r="T139" t="s">
        <v>270</v>
      </c>
      <c r="V139" t="s">
        <v>448</v>
      </c>
      <c r="W139">
        <v>33.200000000000003</v>
      </c>
      <c r="X139" t="s">
        <v>449</v>
      </c>
      <c r="Z139" t="s">
        <v>297</v>
      </c>
      <c r="AA139">
        <v>54.5</v>
      </c>
      <c r="AB139" t="s">
        <v>298</v>
      </c>
      <c r="AD139" t="s">
        <v>299</v>
      </c>
      <c r="AE139">
        <v>72.400000000000006</v>
      </c>
      <c r="AF139" t="s">
        <v>300</v>
      </c>
      <c r="AH139" t="s">
        <v>279</v>
      </c>
      <c r="AI139">
        <v>170.19</v>
      </c>
      <c r="AJ139">
        <v>158.19</v>
      </c>
      <c r="AK139">
        <v>5.58</v>
      </c>
      <c r="AL139">
        <v>5.19</v>
      </c>
      <c r="AN139" t="s">
        <v>412</v>
      </c>
      <c r="AO139">
        <v>41198</v>
      </c>
      <c r="AP139" t="s">
        <v>413</v>
      </c>
    </row>
    <row r="140" spans="2:42" x14ac:dyDescent="0.2">
      <c r="B140" t="s">
        <v>275</v>
      </c>
      <c r="C140">
        <v>3.5</v>
      </c>
      <c r="D140" t="s">
        <v>276</v>
      </c>
      <c r="F140" t="s">
        <v>259</v>
      </c>
      <c r="G140">
        <v>86.7</v>
      </c>
      <c r="H140" t="s">
        <v>260</v>
      </c>
      <c r="J140" t="s">
        <v>305</v>
      </c>
      <c r="K140">
        <v>5.4</v>
      </c>
      <c r="L140" t="s">
        <v>306</v>
      </c>
      <c r="N140" t="s">
        <v>247</v>
      </c>
      <c r="O140">
        <v>0.97</v>
      </c>
      <c r="P140" t="s">
        <v>248</v>
      </c>
      <c r="R140" t="s">
        <v>416</v>
      </c>
      <c r="S140">
        <v>0.14000000000000001</v>
      </c>
      <c r="T140" t="s">
        <v>417</v>
      </c>
      <c r="V140" t="s">
        <v>245</v>
      </c>
      <c r="W140">
        <v>29.3</v>
      </c>
      <c r="X140" t="s">
        <v>246</v>
      </c>
      <c r="Z140" t="s">
        <v>299</v>
      </c>
      <c r="AA140">
        <v>51</v>
      </c>
      <c r="AB140" t="s">
        <v>300</v>
      </c>
      <c r="AD140" t="s">
        <v>301</v>
      </c>
      <c r="AE140">
        <v>68.7</v>
      </c>
      <c r="AF140" t="s">
        <v>302</v>
      </c>
      <c r="AH140" t="s">
        <v>281</v>
      </c>
      <c r="AI140">
        <v>163.1</v>
      </c>
      <c r="AJ140">
        <v>156.88999999999999</v>
      </c>
      <c r="AK140">
        <v>5.35</v>
      </c>
      <c r="AL140">
        <v>5.15</v>
      </c>
      <c r="AN140" t="s">
        <v>295</v>
      </c>
      <c r="AO140">
        <v>7336</v>
      </c>
      <c r="AP140" t="s">
        <v>296</v>
      </c>
    </row>
    <row r="141" spans="2:42" x14ac:dyDescent="0.2">
      <c r="B141" t="s">
        <v>277</v>
      </c>
      <c r="C141">
        <v>2.2000000000000002</v>
      </c>
      <c r="D141" t="s">
        <v>278</v>
      </c>
      <c r="F141" t="s">
        <v>261</v>
      </c>
      <c r="G141">
        <v>59</v>
      </c>
      <c r="H141" t="s">
        <v>262</v>
      </c>
      <c r="J141" t="s">
        <v>311</v>
      </c>
      <c r="K141">
        <v>3.4</v>
      </c>
      <c r="L141" t="s">
        <v>312</v>
      </c>
      <c r="N141" t="s">
        <v>249</v>
      </c>
      <c r="O141">
        <v>0.97</v>
      </c>
      <c r="P141" t="s">
        <v>250</v>
      </c>
      <c r="R141" t="s">
        <v>271</v>
      </c>
      <c r="S141">
        <v>1.32</v>
      </c>
      <c r="T141" t="s">
        <v>272</v>
      </c>
      <c r="V141" t="s">
        <v>247</v>
      </c>
      <c r="W141">
        <v>17.2</v>
      </c>
      <c r="X141" t="s">
        <v>248</v>
      </c>
      <c r="Z141" t="s">
        <v>301</v>
      </c>
      <c r="AA141">
        <v>4.4000000000000004</v>
      </c>
      <c r="AB141" t="s">
        <v>302</v>
      </c>
      <c r="AD141" t="s">
        <v>444</v>
      </c>
      <c r="AE141">
        <v>74.599999999999994</v>
      </c>
      <c r="AF141" t="s">
        <v>445</v>
      </c>
      <c r="AH141" t="s">
        <v>283</v>
      </c>
      <c r="AI141">
        <v>173.81</v>
      </c>
      <c r="AJ141">
        <v>159.76</v>
      </c>
      <c r="AK141">
        <v>5.7</v>
      </c>
      <c r="AL141">
        <v>5.24</v>
      </c>
      <c r="AN141" t="s">
        <v>297</v>
      </c>
      <c r="AO141">
        <v>29555</v>
      </c>
      <c r="AP141" t="s">
        <v>298</v>
      </c>
    </row>
    <row r="142" spans="2:42" x14ac:dyDescent="0.2">
      <c r="B142" t="s">
        <v>279</v>
      </c>
      <c r="C142">
        <v>2.5</v>
      </c>
      <c r="D142" t="s">
        <v>280</v>
      </c>
      <c r="F142" t="s">
        <v>263</v>
      </c>
      <c r="G142">
        <v>16.600000000000001</v>
      </c>
      <c r="H142" t="s">
        <v>264</v>
      </c>
      <c r="J142" t="s">
        <v>313</v>
      </c>
      <c r="K142">
        <v>11.8</v>
      </c>
      <c r="L142" t="s">
        <v>314</v>
      </c>
      <c r="N142" t="s">
        <v>251</v>
      </c>
      <c r="O142">
        <v>0.96</v>
      </c>
      <c r="P142" t="s">
        <v>252</v>
      </c>
      <c r="R142" t="s">
        <v>273</v>
      </c>
      <c r="S142">
        <v>9.1300000000000008</v>
      </c>
      <c r="T142" t="s">
        <v>274</v>
      </c>
      <c r="V142" t="s">
        <v>251</v>
      </c>
      <c r="W142">
        <v>21.2</v>
      </c>
      <c r="X142" t="s">
        <v>252</v>
      </c>
      <c r="Z142" t="s">
        <v>444</v>
      </c>
      <c r="AA142">
        <v>99.3</v>
      </c>
      <c r="AB142" t="s">
        <v>445</v>
      </c>
      <c r="AD142" t="s">
        <v>446</v>
      </c>
      <c r="AE142">
        <v>76.099999999999994</v>
      </c>
      <c r="AF142" t="s">
        <v>447</v>
      </c>
      <c r="AH142" t="s">
        <v>285</v>
      </c>
      <c r="AI142">
        <v>166.75</v>
      </c>
      <c r="AJ142">
        <v>154.38999999999999</v>
      </c>
      <c r="AK142">
        <v>5.47</v>
      </c>
      <c r="AL142">
        <v>5.07</v>
      </c>
      <c r="AN142" t="s">
        <v>299</v>
      </c>
      <c r="AO142">
        <v>30820</v>
      </c>
      <c r="AP142" t="s">
        <v>300</v>
      </c>
    </row>
    <row r="143" spans="2:42" x14ac:dyDescent="0.2">
      <c r="B143" t="s">
        <v>281</v>
      </c>
      <c r="C143">
        <v>3.6</v>
      </c>
      <c r="D143" t="s">
        <v>282</v>
      </c>
      <c r="F143" t="s">
        <v>265</v>
      </c>
      <c r="G143">
        <v>52</v>
      </c>
      <c r="H143" t="s">
        <v>266</v>
      </c>
      <c r="J143" t="s">
        <v>315</v>
      </c>
      <c r="K143">
        <v>10.9</v>
      </c>
      <c r="L143" t="s">
        <v>316</v>
      </c>
      <c r="N143" t="s">
        <v>404</v>
      </c>
      <c r="O143">
        <v>0.88</v>
      </c>
      <c r="P143" t="s">
        <v>405</v>
      </c>
      <c r="R143" t="s">
        <v>275</v>
      </c>
      <c r="S143">
        <v>2.69</v>
      </c>
      <c r="T143" t="s">
        <v>276</v>
      </c>
      <c r="V143" t="s">
        <v>404</v>
      </c>
      <c r="W143">
        <v>26.4</v>
      </c>
      <c r="X143" t="s">
        <v>405</v>
      </c>
      <c r="Z143" t="s">
        <v>446</v>
      </c>
      <c r="AA143">
        <v>124.1</v>
      </c>
      <c r="AB143" t="s">
        <v>447</v>
      </c>
      <c r="AD143" t="s">
        <v>434</v>
      </c>
      <c r="AE143">
        <v>72.400000000000006</v>
      </c>
      <c r="AF143" t="s">
        <v>435</v>
      </c>
      <c r="AH143" t="s">
        <v>287</v>
      </c>
      <c r="AI143">
        <v>165.23</v>
      </c>
      <c r="AJ143">
        <v>154.13999999999999</v>
      </c>
      <c r="AK143">
        <v>5.42</v>
      </c>
      <c r="AL143">
        <v>5.0599999999999996</v>
      </c>
      <c r="AN143" t="s">
        <v>301</v>
      </c>
      <c r="AO143">
        <v>2642</v>
      </c>
      <c r="AP143" t="s">
        <v>302</v>
      </c>
    </row>
    <row r="144" spans="2:42" x14ac:dyDescent="0.2">
      <c r="B144" t="s">
        <v>283</v>
      </c>
      <c r="C144">
        <v>2.4</v>
      </c>
      <c r="D144" t="s">
        <v>284</v>
      </c>
      <c r="F144" t="s">
        <v>436</v>
      </c>
      <c r="G144">
        <v>46.2</v>
      </c>
      <c r="H144" t="s">
        <v>437</v>
      </c>
      <c r="J144" t="s">
        <v>317</v>
      </c>
      <c r="K144">
        <v>8.3000000000000007</v>
      </c>
      <c r="L144" t="s">
        <v>318</v>
      </c>
      <c r="N144" t="s">
        <v>253</v>
      </c>
      <c r="O144">
        <v>0.96</v>
      </c>
      <c r="P144" t="s">
        <v>254</v>
      </c>
      <c r="R144" t="s">
        <v>277</v>
      </c>
      <c r="S144">
        <v>0.72</v>
      </c>
      <c r="T144" t="s">
        <v>278</v>
      </c>
      <c r="V144" t="s">
        <v>253</v>
      </c>
      <c r="W144">
        <v>24.1</v>
      </c>
      <c r="X144" t="s">
        <v>254</v>
      </c>
      <c r="Z144" t="s">
        <v>434</v>
      </c>
      <c r="AA144">
        <v>79.099999999999994</v>
      </c>
      <c r="AB144" t="s">
        <v>435</v>
      </c>
      <c r="AD144" t="s">
        <v>305</v>
      </c>
      <c r="AE144">
        <v>73.2</v>
      </c>
      <c r="AF144" t="s">
        <v>306</v>
      </c>
      <c r="AH144" t="s">
        <v>289</v>
      </c>
      <c r="AI144">
        <v>180.69</v>
      </c>
      <c r="AJ144">
        <v>165.78</v>
      </c>
      <c r="AK144">
        <v>5.93</v>
      </c>
      <c r="AL144">
        <v>5.44</v>
      </c>
      <c r="AN144" t="s">
        <v>444</v>
      </c>
      <c r="AO144">
        <v>31950</v>
      </c>
      <c r="AP144" t="s">
        <v>445</v>
      </c>
    </row>
    <row r="145" spans="2:42" x14ac:dyDescent="0.2">
      <c r="B145" t="s">
        <v>285</v>
      </c>
      <c r="C145">
        <v>2.2999999999999998</v>
      </c>
      <c r="D145" t="s">
        <v>286</v>
      </c>
      <c r="F145" t="s">
        <v>267</v>
      </c>
      <c r="G145">
        <v>62.4</v>
      </c>
      <c r="H145" t="s">
        <v>268</v>
      </c>
      <c r="J145" t="s">
        <v>319</v>
      </c>
      <c r="K145">
        <v>16.100000000000001</v>
      </c>
      <c r="L145" t="s">
        <v>320</v>
      </c>
      <c r="N145" t="s">
        <v>255</v>
      </c>
      <c r="O145">
        <v>0.98</v>
      </c>
      <c r="P145" t="s">
        <v>256</v>
      </c>
      <c r="R145" t="s">
        <v>426</v>
      </c>
      <c r="S145">
        <v>3.01</v>
      </c>
      <c r="T145" t="s">
        <v>427</v>
      </c>
      <c r="V145" t="s">
        <v>255</v>
      </c>
      <c r="W145">
        <v>42.6</v>
      </c>
      <c r="X145" t="s">
        <v>256</v>
      </c>
      <c r="Z145" t="s">
        <v>305</v>
      </c>
      <c r="AA145">
        <v>82.6</v>
      </c>
      <c r="AB145" t="s">
        <v>306</v>
      </c>
      <c r="AD145" t="s">
        <v>309</v>
      </c>
      <c r="AE145">
        <v>70.2</v>
      </c>
      <c r="AF145" t="s">
        <v>310</v>
      </c>
      <c r="AH145" t="s">
        <v>291</v>
      </c>
      <c r="AI145">
        <v>174.37</v>
      </c>
      <c r="AJ145">
        <v>161.22999999999999</v>
      </c>
      <c r="AK145">
        <v>5.72</v>
      </c>
      <c r="AL145">
        <v>5.29</v>
      </c>
      <c r="AN145" t="s">
        <v>446</v>
      </c>
      <c r="AO145">
        <v>15159</v>
      </c>
      <c r="AP145" t="s">
        <v>447</v>
      </c>
    </row>
    <row r="146" spans="2:42" x14ac:dyDescent="0.2">
      <c r="B146" t="s">
        <v>287</v>
      </c>
      <c r="C146">
        <v>2.6</v>
      </c>
      <c r="D146" t="s">
        <v>288</v>
      </c>
      <c r="F146" t="s">
        <v>269</v>
      </c>
      <c r="G146">
        <v>58.5</v>
      </c>
      <c r="H146" t="s">
        <v>270</v>
      </c>
      <c r="J146" t="s">
        <v>321</v>
      </c>
      <c r="K146">
        <v>7.9</v>
      </c>
      <c r="L146" t="s">
        <v>322</v>
      </c>
      <c r="N146" t="s">
        <v>257</v>
      </c>
      <c r="O146">
        <v>1</v>
      </c>
      <c r="P146" t="s">
        <v>258</v>
      </c>
      <c r="R146" t="s">
        <v>279</v>
      </c>
      <c r="S146">
        <v>1.64</v>
      </c>
      <c r="T146" t="s">
        <v>280</v>
      </c>
      <c r="V146" t="s">
        <v>257</v>
      </c>
      <c r="W146">
        <v>32</v>
      </c>
      <c r="X146" t="s">
        <v>258</v>
      </c>
      <c r="Z146" t="s">
        <v>309</v>
      </c>
      <c r="AA146">
        <v>9.6</v>
      </c>
      <c r="AB146" t="s">
        <v>310</v>
      </c>
      <c r="AD146" t="s">
        <v>311</v>
      </c>
      <c r="AE146">
        <v>75</v>
      </c>
      <c r="AF146" t="s">
        <v>312</v>
      </c>
      <c r="AH146" t="s">
        <v>412</v>
      </c>
      <c r="AI146">
        <v>179.48</v>
      </c>
      <c r="AJ146">
        <v>163.06</v>
      </c>
      <c r="AK146">
        <v>5.89</v>
      </c>
      <c r="AL146">
        <v>5.35</v>
      </c>
      <c r="AN146" t="s">
        <v>434</v>
      </c>
      <c r="AO146">
        <v>12983</v>
      </c>
      <c r="AP146" t="s">
        <v>435</v>
      </c>
    </row>
    <row r="147" spans="2:42" x14ac:dyDescent="0.2">
      <c r="B147" t="s">
        <v>289</v>
      </c>
      <c r="C147">
        <v>1.5</v>
      </c>
      <c r="D147" t="s">
        <v>290</v>
      </c>
      <c r="F147" t="s">
        <v>416</v>
      </c>
      <c r="G147">
        <v>91.8</v>
      </c>
      <c r="H147" t="s">
        <v>417</v>
      </c>
      <c r="J147" t="s">
        <v>432</v>
      </c>
      <c r="K147">
        <v>10.1</v>
      </c>
      <c r="L147" t="s">
        <v>433</v>
      </c>
      <c r="N147" t="s">
        <v>259</v>
      </c>
      <c r="O147">
        <v>1</v>
      </c>
      <c r="P147" t="s">
        <v>260</v>
      </c>
      <c r="R147" t="s">
        <v>281</v>
      </c>
      <c r="S147">
        <v>2.17</v>
      </c>
      <c r="T147" t="s">
        <v>282</v>
      </c>
      <c r="V147" t="s">
        <v>259</v>
      </c>
      <c r="W147">
        <v>37.9</v>
      </c>
      <c r="X147" t="s">
        <v>260</v>
      </c>
      <c r="Z147" t="s">
        <v>311</v>
      </c>
      <c r="AA147">
        <v>44.6</v>
      </c>
      <c r="AB147" t="s">
        <v>312</v>
      </c>
      <c r="AD147" t="s">
        <v>313</v>
      </c>
      <c r="AE147">
        <v>67.7</v>
      </c>
      <c r="AF147" t="s">
        <v>314</v>
      </c>
      <c r="AH147" t="s">
        <v>293</v>
      </c>
      <c r="AI147">
        <v>173.27</v>
      </c>
      <c r="AJ147">
        <v>160.72</v>
      </c>
      <c r="AK147">
        <v>5.68</v>
      </c>
      <c r="AL147">
        <v>5.27</v>
      </c>
      <c r="AN147" t="s">
        <v>305</v>
      </c>
      <c r="AO147">
        <v>6493</v>
      </c>
      <c r="AP147" t="s">
        <v>306</v>
      </c>
    </row>
    <row r="148" spans="2:42" x14ac:dyDescent="0.2">
      <c r="B148" t="s">
        <v>291</v>
      </c>
      <c r="C148">
        <v>1.4</v>
      </c>
      <c r="D148" t="s">
        <v>292</v>
      </c>
      <c r="F148" t="s">
        <v>271</v>
      </c>
      <c r="G148">
        <v>83</v>
      </c>
      <c r="H148" t="s">
        <v>272</v>
      </c>
      <c r="J148" t="s">
        <v>325</v>
      </c>
      <c r="K148">
        <v>13.3</v>
      </c>
      <c r="L148" t="s">
        <v>326</v>
      </c>
      <c r="N148" t="s">
        <v>261</v>
      </c>
      <c r="O148">
        <v>0.95</v>
      </c>
      <c r="P148" t="s">
        <v>262</v>
      </c>
      <c r="R148" t="s">
        <v>283</v>
      </c>
      <c r="S148">
        <v>1.72</v>
      </c>
      <c r="T148" t="s">
        <v>284</v>
      </c>
      <c r="V148" t="s">
        <v>261</v>
      </c>
      <c r="W148">
        <v>25.7</v>
      </c>
      <c r="X148" t="s">
        <v>262</v>
      </c>
      <c r="Z148" t="s">
        <v>313</v>
      </c>
      <c r="AA148">
        <v>17.7</v>
      </c>
      <c r="AB148" t="s">
        <v>314</v>
      </c>
      <c r="AD148" t="s">
        <v>315</v>
      </c>
      <c r="AE148">
        <v>75.8</v>
      </c>
      <c r="AF148" t="s">
        <v>316</v>
      </c>
      <c r="AH148" t="s">
        <v>295</v>
      </c>
      <c r="AI148">
        <v>171.23</v>
      </c>
      <c r="AJ148">
        <v>158.78</v>
      </c>
      <c r="AK148">
        <v>5.62</v>
      </c>
      <c r="AL148">
        <v>5.21</v>
      </c>
      <c r="AN148" t="s">
        <v>307</v>
      </c>
      <c r="AO148">
        <v>62913</v>
      </c>
      <c r="AP148" t="s">
        <v>308</v>
      </c>
    </row>
    <row r="149" spans="2:42" x14ac:dyDescent="0.2">
      <c r="B149" t="s">
        <v>293</v>
      </c>
      <c r="C149">
        <v>1.9</v>
      </c>
      <c r="D149" t="s">
        <v>294</v>
      </c>
      <c r="F149" t="s">
        <v>273</v>
      </c>
      <c r="G149">
        <v>86.3</v>
      </c>
      <c r="H149" t="s">
        <v>274</v>
      </c>
      <c r="J149" t="s">
        <v>327</v>
      </c>
      <c r="K149">
        <v>5.9</v>
      </c>
      <c r="L149" t="s">
        <v>328</v>
      </c>
      <c r="N149" t="s">
        <v>263</v>
      </c>
      <c r="O149">
        <v>0.98</v>
      </c>
      <c r="P149" t="s">
        <v>264</v>
      </c>
      <c r="R149" t="s">
        <v>285</v>
      </c>
      <c r="S149">
        <v>1.25</v>
      </c>
      <c r="T149" t="s">
        <v>286</v>
      </c>
      <c r="V149" t="s">
        <v>265</v>
      </c>
      <c r="W149">
        <v>18.399999999999999</v>
      </c>
      <c r="X149" t="s">
        <v>266</v>
      </c>
      <c r="Z149" t="s">
        <v>317</v>
      </c>
      <c r="AA149">
        <v>51.1</v>
      </c>
      <c r="AB149" t="s">
        <v>318</v>
      </c>
      <c r="AD149" t="s">
        <v>317</v>
      </c>
      <c r="AE149">
        <v>73.3</v>
      </c>
      <c r="AF149" t="s">
        <v>318</v>
      </c>
      <c r="AH149" t="s">
        <v>297</v>
      </c>
      <c r="AI149">
        <v>177.82</v>
      </c>
      <c r="AJ149">
        <v>164.73</v>
      </c>
      <c r="AK149">
        <v>5.83</v>
      </c>
      <c r="AL149">
        <v>5.4</v>
      </c>
      <c r="AN149" t="s">
        <v>311</v>
      </c>
      <c r="AO149">
        <v>56912</v>
      </c>
      <c r="AP149" t="s">
        <v>312</v>
      </c>
    </row>
    <row r="150" spans="2:42" x14ac:dyDescent="0.2">
      <c r="B150" t="s">
        <v>295</v>
      </c>
      <c r="C150">
        <v>4.4000000000000004</v>
      </c>
      <c r="D150" t="s">
        <v>296</v>
      </c>
      <c r="F150" t="s">
        <v>275</v>
      </c>
      <c r="G150">
        <v>37.200000000000003</v>
      </c>
      <c r="H150" t="s">
        <v>276</v>
      </c>
      <c r="J150" t="s">
        <v>329</v>
      </c>
      <c r="K150">
        <v>8.3000000000000007</v>
      </c>
      <c r="L150" t="s">
        <v>330</v>
      </c>
      <c r="N150" t="s">
        <v>265</v>
      </c>
      <c r="O150">
        <v>1.02</v>
      </c>
      <c r="P150" t="s">
        <v>266</v>
      </c>
      <c r="R150" t="s">
        <v>287</v>
      </c>
      <c r="S150">
        <v>1.72</v>
      </c>
      <c r="T150" t="s">
        <v>288</v>
      </c>
      <c r="V150" t="s">
        <v>263</v>
      </c>
      <c r="W150">
        <v>15.4</v>
      </c>
      <c r="X150" t="s">
        <v>264</v>
      </c>
      <c r="Z150" t="s">
        <v>319</v>
      </c>
      <c r="AA150">
        <v>6.1</v>
      </c>
      <c r="AB150" t="s">
        <v>320</v>
      </c>
      <c r="AD150" t="s">
        <v>319</v>
      </c>
      <c r="AE150">
        <v>54.3</v>
      </c>
      <c r="AF150" t="s">
        <v>320</v>
      </c>
      <c r="AH150" t="s">
        <v>299</v>
      </c>
      <c r="AI150">
        <v>176.65</v>
      </c>
      <c r="AJ150">
        <v>164.52</v>
      </c>
      <c r="AK150">
        <v>5.8</v>
      </c>
      <c r="AL150">
        <v>5.4</v>
      </c>
      <c r="AN150" t="s">
        <v>313</v>
      </c>
      <c r="AO150">
        <v>4079</v>
      </c>
      <c r="AP150" t="s">
        <v>314</v>
      </c>
    </row>
    <row r="151" spans="2:42" x14ac:dyDescent="0.2">
      <c r="B151" t="s">
        <v>297</v>
      </c>
      <c r="C151">
        <v>1.8</v>
      </c>
      <c r="D151" t="s">
        <v>298</v>
      </c>
      <c r="F151" t="s">
        <v>277</v>
      </c>
      <c r="G151">
        <v>81</v>
      </c>
      <c r="H151" t="s">
        <v>278</v>
      </c>
      <c r="J151" t="s">
        <v>331</v>
      </c>
      <c r="K151">
        <v>12.8</v>
      </c>
      <c r="L151" t="s">
        <v>332</v>
      </c>
      <c r="N151" t="s">
        <v>269</v>
      </c>
      <c r="O151">
        <v>0.99</v>
      </c>
      <c r="P151" t="s">
        <v>270</v>
      </c>
      <c r="R151" t="s">
        <v>289</v>
      </c>
      <c r="S151">
        <v>0.02</v>
      </c>
      <c r="T151" t="s">
        <v>290</v>
      </c>
      <c r="V151" t="s">
        <v>416</v>
      </c>
      <c r="W151">
        <v>33.6</v>
      </c>
      <c r="X151" t="s">
        <v>417</v>
      </c>
      <c r="Z151" t="s">
        <v>321</v>
      </c>
      <c r="AA151">
        <v>71.099999999999994</v>
      </c>
      <c r="AB151" t="s">
        <v>322</v>
      </c>
      <c r="AD151" t="s">
        <v>321</v>
      </c>
      <c r="AE151">
        <v>83.8</v>
      </c>
      <c r="AF151" t="s">
        <v>322</v>
      </c>
      <c r="AH151" t="s">
        <v>301</v>
      </c>
      <c r="AI151">
        <v>166.02</v>
      </c>
      <c r="AJ151">
        <v>156.72</v>
      </c>
      <c r="AK151">
        <v>5.45</v>
      </c>
      <c r="AL151">
        <v>5.14</v>
      </c>
      <c r="AN151" t="s">
        <v>315</v>
      </c>
      <c r="AO151">
        <v>19767</v>
      </c>
      <c r="AP151" t="s">
        <v>316</v>
      </c>
    </row>
    <row r="152" spans="2:42" x14ac:dyDescent="0.2">
      <c r="B152" t="s">
        <v>299</v>
      </c>
      <c r="C152">
        <v>1.82</v>
      </c>
      <c r="D152" t="s">
        <v>300</v>
      </c>
      <c r="F152" t="s">
        <v>426</v>
      </c>
      <c r="G152">
        <v>76.7</v>
      </c>
      <c r="H152" t="s">
        <v>427</v>
      </c>
      <c r="J152" t="s">
        <v>333</v>
      </c>
      <c r="K152">
        <v>20.2</v>
      </c>
      <c r="L152" t="s">
        <v>334</v>
      </c>
      <c r="N152" t="s">
        <v>416</v>
      </c>
      <c r="O152">
        <v>1.1299999999999999</v>
      </c>
      <c r="P152" t="s">
        <v>417</v>
      </c>
      <c r="R152" t="s">
        <v>291</v>
      </c>
      <c r="S152">
        <v>-0.28999999999999998</v>
      </c>
      <c r="T152" t="s">
        <v>292</v>
      </c>
      <c r="V152" t="s">
        <v>271</v>
      </c>
      <c r="W152">
        <v>39.200000000000003</v>
      </c>
      <c r="X152" t="s">
        <v>272</v>
      </c>
      <c r="Z152" t="s">
        <v>432</v>
      </c>
      <c r="AA152">
        <v>67.400000000000006</v>
      </c>
      <c r="AB152" t="s">
        <v>433</v>
      </c>
      <c r="AD152" t="s">
        <v>432</v>
      </c>
      <c r="AE152">
        <v>77.400000000000006</v>
      </c>
      <c r="AF152" t="s">
        <v>433</v>
      </c>
      <c r="AH152" t="s">
        <v>444</v>
      </c>
      <c r="AI152">
        <v>173.71</v>
      </c>
      <c r="AJ152">
        <v>162.78</v>
      </c>
      <c r="AK152">
        <v>5.7</v>
      </c>
      <c r="AL152">
        <v>5.34</v>
      </c>
      <c r="AN152" t="s">
        <v>317</v>
      </c>
      <c r="AO152">
        <v>33118</v>
      </c>
      <c r="AP152" t="s">
        <v>318</v>
      </c>
    </row>
    <row r="153" spans="2:42" x14ac:dyDescent="0.2">
      <c r="B153" t="s">
        <v>299</v>
      </c>
      <c r="C153">
        <v>1.6</v>
      </c>
      <c r="D153" t="s">
        <v>300</v>
      </c>
      <c r="F153" t="s">
        <v>279</v>
      </c>
      <c r="G153">
        <v>68.400000000000006</v>
      </c>
      <c r="H153" t="s">
        <v>280</v>
      </c>
      <c r="J153" t="s">
        <v>335</v>
      </c>
      <c r="K153">
        <v>6.1</v>
      </c>
      <c r="L153" t="s">
        <v>336</v>
      </c>
      <c r="N153" t="s">
        <v>271</v>
      </c>
      <c r="O153">
        <v>1.02</v>
      </c>
      <c r="P153" t="s">
        <v>272</v>
      </c>
      <c r="R153" t="s">
        <v>412</v>
      </c>
      <c r="S153">
        <v>-0.73</v>
      </c>
      <c r="T153" t="s">
        <v>413</v>
      </c>
      <c r="V153" t="s">
        <v>273</v>
      </c>
      <c r="W153">
        <v>25.6</v>
      </c>
      <c r="X153" t="s">
        <v>274</v>
      </c>
      <c r="Z153" t="s">
        <v>325</v>
      </c>
      <c r="AA153">
        <v>88</v>
      </c>
      <c r="AB153" t="s">
        <v>326</v>
      </c>
      <c r="AD153" t="s">
        <v>325</v>
      </c>
      <c r="AE153">
        <v>81.2</v>
      </c>
      <c r="AF153" t="s">
        <v>326</v>
      </c>
      <c r="AH153" t="s">
        <v>446</v>
      </c>
      <c r="AI153">
        <v>176.43</v>
      </c>
      <c r="AJ153">
        <v>165.52</v>
      </c>
      <c r="AK153">
        <v>5.79</v>
      </c>
      <c r="AL153">
        <v>5.43</v>
      </c>
      <c r="AN153" t="s">
        <v>319</v>
      </c>
      <c r="AO153">
        <v>1765</v>
      </c>
      <c r="AP153" t="s">
        <v>320</v>
      </c>
    </row>
    <row r="154" spans="2:42" x14ac:dyDescent="0.2">
      <c r="B154" t="s">
        <v>301</v>
      </c>
      <c r="C154">
        <v>4</v>
      </c>
      <c r="D154" t="s">
        <v>302</v>
      </c>
      <c r="F154" t="s">
        <v>281</v>
      </c>
      <c r="G154">
        <v>13.3</v>
      </c>
      <c r="H154" t="s">
        <v>282</v>
      </c>
      <c r="J154" t="s">
        <v>337</v>
      </c>
      <c r="K154">
        <v>6.1</v>
      </c>
      <c r="L154" t="s">
        <v>338</v>
      </c>
      <c r="N154" t="s">
        <v>273</v>
      </c>
      <c r="O154">
        <v>1.18</v>
      </c>
      <c r="P154" t="s">
        <v>274</v>
      </c>
      <c r="R154" t="s">
        <v>293</v>
      </c>
      <c r="S154">
        <v>7.05</v>
      </c>
      <c r="T154" t="s">
        <v>294</v>
      </c>
      <c r="V154" t="s">
        <v>275</v>
      </c>
      <c r="W154">
        <v>23.8</v>
      </c>
      <c r="X154" t="s">
        <v>276</v>
      </c>
      <c r="Z154" t="s">
        <v>327</v>
      </c>
      <c r="AA154">
        <v>9.6999999999999993</v>
      </c>
      <c r="AB154" t="s">
        <v>328</v>
      </c>
      <c r="AD154" t="s">
        <v>327</v>
      </c>
      <c r="AE154">
        <v>72.8</v>
      </c>
      <c r="AF154" t="s">
        <v>328</v>
      </c>
      <c r="AH154" t="s">
        <v>434</v>
      </c>
      <c r="AI154">
        <v>177.49</v>
      </c>
      <c r="AJ154">
        <v>165.3</v>
      </c>
      <c r="AK154">
        <v>5.82</v>
      </c>
      <c r="AL154">
        <v>5.42</v>
      </c>
      <c r="AN154" t="s">
        <v>321</v>
      </c>
      <c r="AO154">
        <v>105689</v>
      </c>
      <c r="AP154" t="s">
        <v>322</v>
      </c>
    </row>
    <row r="155" spans="2:42" x14ac:dyDescent="0.2">
      <c r="B155" t="s">
        <v>303</v>
      </c>
      <c r="C155">
        <v>1.8</v>
      </c>
      <c r="D155" t="s">
        <v>304</v>
      </c>
      <c r="F155" t="s">
        <v>283</v>
      </c>
      <c r="G155">
        <v>62.2</v>
      </c>
      <c r="H155" t="s">
        <v>284</v>
      </c>
      <c r="J155" t="s">
        <v>339</v>
      </c>
      <c r="K155">
        <v>14.2</v>
      </c>
      <c r="L155" t="s">
        <v>340</v>
      </c>
      <c r="N155" t="s">
        <v>275</v>
      </c>
      <c r="O155">
        <v>1.04</v>
      </c>
      <c r="P155" t="s">
        <v>276</v>
      </c>
      <c r="R155" t="s">
        <v>295</v>
      </c>
      <c r="S155">
        <v>2.61</v>
      </c>
      <c r="T155" t="s">
        <v>296</v>
      </c>
      <c r="V155" t="s">
        <v>277</v>
      </c>
      <c r="W155">
        <v>33.4</v>
      </c>
      <c r="X155" t="s">
        <v>278</v>
      </c>
      <c r="Z155" t="s">
        <v>329</v>
      </c>
      <c r="AA155">
        <v>9.5</v>
      </c>
      <c r="AB155" t="s">
        <v>330</v>
      </c>
      <c r="AD155" t="s">
        <v>329</v>
      </c>
      <c r="AE155">
        <v>56.7</v>
      </c>
      <c r="AF155" t="s">
        <v>330</v>
      </c>
      <c r="AH155" t="s">
        <v>305</v>
      </c>
      <c r="AI155">
        <v>174.42</v>
      </c>
      <c r="AJ155">
        <v>163.82</v>
      </c>
      <c r="AK155">
        <v>5.72</v>
      </c>
      <c r="AL155">
        <v>5.37</v>
      </c>
      <c r="AN155" t="s">
        <v>432</v>
      </c>
      <c r="AO155">
        <v>38321</v>
      </c>
      <c r="AP155" t="s">
        <v>433</v>
      </c>
    </row>
    <row r="156" spans="2:42" x14ac:dyDescent="0.2">
      <c r="B156" t="s">
        <v>305</v>
      </c>
      <c r="C156">
        <v>3.9</v>
      </c>
      <c r="D156" t="s">
        <v>306</v>
      </c>
      <c r="F156" t="s">
        <v>285</v>
      </c>
      <c r="G156">
        <v>78.3</v>
      </c>
      <c r="H156" t="s">
        <v>286</v>
      </c>
      <c r="J156" t="s">
        <v>341</v>
      </c>
      <c r="K156">
        <v>9.5</v>
      </c>
      <c r="L156" t="s">
        <v>342</v>
      </c>
      <c r="N156" t="s">
        <v>277</v>
      </c>
      <c r="O156">
        <v>1.07</v>
      </c>
      <c r="P156" t="s">
        <v>278</v>
      </c>
      <c r="R156" t="s">
        <v>297</v>
      </c>
      <c r="S156">
        <v>-0.27</v>
      </c>
      <c r="T156" t="s">
        <v>298</v>
      </c>
      <c r="V156" t="s">
        <v>279</v>
      </c>
      <c r="W156">
        <v>29.2</v>
      </c>
      <c r="X156" t="s">
        <v>280</v>
      </c>
      <c r="Z156" t="s">
        <v>331</v>
      </c>
      <c r="AA156">
        <v>39</v>
      </c>
      <c r="AB156" t="s">
        <v>332</v>
      </c>
      <c r="AD156" t="s">
        <v>331</v>
      </c>
      <c r="AE156">
        <v>63.9</v>
      </c>
      <c r="AF156" t="s">
        <v>332</v>
      </c>
      <c r="AH156" t="s">
        <v>309</v>
      </c>
      <c r="AI156">
        <v>170.37</v>
      </c>
      <c r="AJ156">
        <v>159.81</v>
      </c>
      <c r="AK156">
        <v>5.59</v>
      </c>
      <c r="AL156">
        <v>5.24</v>
      </c>
      <c r="AN156" t="s">
        <v>325</v>
      </c>
      <c r="AO156">
        <v>40344</v>
      </c>
      <c r="AP156" t="s">
        <v>326</v>
      </c>
    </row>
    <row r="157" spans="2:42" x14ac:dyDescent="0.2">
      <c r="B157" t="s">
        <v>307</v>
      </c>
      <c r="C157">
        <v>1.3</v>
      </c>
      <c r="D157" t="s">
        <v>308</v>
      </c>
      <c r="F157" t="s">
        <v>287</v>
      </c>
      <c r="G157">
        <v>47.4</v>
      </c>
      <c r="H157" t="s">
        <v>288</v>
      </c>
      <c r="J157" t="s">
        <v>343</v>
      </c>
      <c r="K157">
        <v>23.2</v>
      </c>
      <c r="L157" t="s">
        <v>344</v>
      </c>
      <c r="N157" t="s">
        <v>279</v>
      </c>
      <c r="O157">
        <v>1.01</v>
      </c>
      <c r="P157" t="s">
        <v>280</v>
      </c>
      <c r="R157" t="s">
        <v>299</v>
      </c>
      <c r="S157">
        <v>0.4</v>
      </c>
      <c r="T157" t="s">
        <v>300</v>
      </c>
      <c r="V157" t="s">
        <v>281</v>
      </c>
      <c r="W157">
        <v>23.1</v>
      </c>
      <c r="X157" t="s">
        <v>282</v>
      </c>
      <c r="Z157" t="s">
        <v>333</v>
      </c>
      <c r="AA157">
        <v>48</v>
      </c>
      <c r="AB157" t="s">
        <v>334</v>
      </c>
      <c r="AD157" t="s">
        <v>335</v>
      </c>
      <c r="AE157">
        <v>57.6</v>
      </c>
      <c r="AF157" t="s">
        <v>336</v>
      </c>
      <c r="AH157" t="s">
        <v>311</v>
      </c>
      <c r="AI157">
        <v>170.67</v>
      </c>
      <c r="AJ157">
        <v>158.84</v>
      </c>
      <c r="AK157">
        <v>5.6</v>
      </c>
      <c r="AL157">
        <v>5.21</v>
      </c>
      <c r="AN157" t="s">
        <v>327</v>
      </c>
      <c r="AO157">
        <v>2363</v>
      </c>
      <c r="AP157" t="s">
        <v>328</v>
      </c>
    </row>
    <row r="158" spans="2:42" x14ac:dyDescent="0.2">
      <c r="B158" t="s">
        <v>309</v>
      </c>
      <c r="C158">
        <v>4.3</v>
      </c>
      <c r="D158" t="s">
        <v>310</v>
      </c>
      <c r="F158" t="s">
        <v>289</v>
      </c>
      <c r="G158">
        <v>60</v>
      </c>
      <c r="H158" t="s">
        <v>290</v>
      </c>
      <c r="J158" t="s">
        <v>345</v>
      </c>
      <c r="K158">
        <v>13.8</v>
      </c>
      <c r="L158" t="s">
        <v>346</v>
      </c>
      <c r="N158" t="s">
        <v>281</v>
      </c>
      <c r="O158">
        <v>1.04</v>
      </c>
      <c r="P158" t="s">
        <v>282</v>
      </c>
      <c r="R158" t="s">
        <v>301</v>
      </c>
      <c r="S158">
        <v>2.77</v>
      </c>
      <c r="T158" t="s">
        <v>302</v>
      </c>
      <c r="V158" t="s">
        <v>283</v>
      </c>
      <c r="W158">
        <v>28.2</v>
      </c>
      <c r="X158" t="s">
        <v>284</v>
      </c>
      <c r="Z158" t="s">
        <v>335</v>
      </c>
      <c r="AA158">
        <v>13.1</v>
      </c>
      <c r="AB158" t="s">
        <v>336</v>
      </c>
      <c r="AD158" t="s">
        <v>337</v>
      </c>
      <c r="AE158">
        <v>83.4</v>
      </c>
      <c r="AF158" t="s">
        <v>338</v>
      </c>
      <c r="AH158" t="s">
        <v>313</v>
      </c>
      <c r="AI158">
        <v>176.18</v>
      </c>
      <c r="AJ158">
        <v>163.92</v>
      </c>
      <c r="AK158">
        <v>5.78</v>
      </c>
      <c r="AL158">
        <v>5.38</v>
      </c>
      <c r="AN158" t="s">
        <v>329</v>
      </c>
      <c r="AO158">
        <v>314.5</v>
      </c>
      <c r="AP158" t="s">
        <v>330</v>
      </c>
    </row>
    <row r="159" spans="2:42" x14ac:dyDescent="0.2">
      <c r="B159" t="s">
        <v>311</v>
      </c>
      <c r="C159">
        <v>2.2999999999999998</v>
      </c>
      <c r="D159" t="s">
        <v>312</v>
      </c>
      <c r="F159" t="s">
        <v>291</v>
      </c>
      <c r="G159">
        <v>66.3</v>
      </c>
      <c r="H159" t="s">
        <v>292</v>
      </c>
      <c r="J159" t="s">
        <v>347</v>
      </c>
      <c r="K159">
        <v>11.3</v>
      </c>
      <c r="L159" t="s">
        <v>348</v>
      </c>
      <c r="N159" t="s">
        <v>283</v>
      </c>
      <c r="O159">
        <v>1</v>
      </c>
      <c r="P159" t="s">
        <v>284</v>
      </c>
      <c r="R159" t="s">
        <v>444</v>
      </c>
      <c r="S159">
        <v>1.1499999999999999</v>
      </c>
      <c r="T159" t="s">
        <v>445</v>
      </c>
      <c r="V159" t="s">
        <v>285</v>
      </c>
      <c r="W159">
        <v>28</v>
      </c>
      <c r="X159" t="s">
        <v>286</v>
      </c>
      <c r="Z159" t="s">
        <v>337</v>
      </c>
      <c r="AA159">
        <v>118.6</v>
      </c>
      <c r="AB159" t="s">
        <v>338</v>
      </c>
      <c r="AD159" t="s">
        <v>339</v>
      </c>
      <c r="AE159">
        <v>76.8</v>
      </c>
      <c r="AF159" t="s">
        <v>340</v>
      </c>
      <c r="AH159" t="s">
        <v>315</v>
      </c>
      <c r="AI159">
        <v>180.74</v>
      </c>
      <c r="AJ159">
        <v>168.29</v>
      </c>
      <c r="AK159">
        <v>5.93</v>
      </c>
      <c r="AL159">
        <v>5.52</v>
      </c>
      <c r="AN159" t="s">
        <v>331</v>
      </c>
      <c r="AO159">
        <v>13965</v>
      </c>
      <c r="AP159" t="s">
        <v>332</v>
      </c>
    </row>
    <row r="160" spans="2:42" x14ac:dyDescent="0.2">
      <c r="B160" t="s">
        <v>313</v>
      </c>
      <c r="C160">
        <v>4.5999999999999996</v>
      </c>
      <c r="D160" t="s">
        <v>314</v>
      </c>
      <c r="F160" t="s">
        <v>412</v>
      </c>
      <c r="G160">
        <v>93.6</v>
      </c>
      <c r="H160" t="s">
        <v>413</v>
      </c>
      <c r="J160" t="s">
        <v>349</v>
      </c>
      <c r="K160">
        <v>2.4</v>
      </c>
      <c r="L160" t="s">
        <v>350</v>
      </c>
      <c r="N160" t="s">
        <v>285</v>
      </c>
      <c r="O160">
        <v>0.96</v>
      </c>
      <c r="P160" t="s">
        <v>286</v>
      </c>
      <c r="R160" t="s">
        <v>446</v>
      </c>
      <c r="S160">
        <v>0.89</v>
      </c>
      <c r="T160" t="s">
        <v>447</v>
      </c>
      <c r="V160" t="s">
        <v>287</v>
      </c>
      <c r="W160">
        <v>23.5</v>
      </c>
      <c r="X160" t="s">
        <v>288</v>
      </c>
      <c r="Z160" t="s">
        <v>339</v>
      </c>
      <c r="AA160">
        <v>6.6</v>
      </c>
      <c r="AB160" t="s">
        <v>340</v>
      </c>
      <c r="AD160" t="s">
        <v>341</v>
      </c>
      <c r="AE160">
        <v>65.099999999999994</v>
      </c>
      <c r="AF160" t="s">
        <v>342</v>
      </c>
      <c r="AH160" t="s">
        <v>317</v>
      </c>
      <c r="AI160">
        <v>175.9</v>
      </c>
      <c r="AJ160">
        <v>162.47</v>
      </c>
      <c r="AK160">
        <v>5.77</v>
      </c>
      <c r="AL160">
        <v>5.33</v>
      </c>
      <c r="AN160" t="s">
        <v>333</v>
      </c>
      <c r="AO160">
        <v>46452</v>
      </c>
      <c r="AP160" t="s">
        <v>334</v>
      </c>
    </row>
    <row r="161" spans="2:42" x14ac:dyDescent="0.2">
      <c r="B161" t="s">
        <v>315</v>
      </c>
      <c r="C161">
        <v>1.5</v>
      </c>
      <c r="D161" t="s">
        <v>316</v>
      </c>
      <c r="F161" t="s">
        <v>293</v>
      </c>
      <c r="G161">
        <v>99.2</v>
      </c>
      <c r="H161" t="s">
        <v>294</v>
      </c>
      <c r="J161" t="s">
        <v>351</v>
      </c>
      <c r="K161">
        <v>3.3</v>
      </c>
      <c r="L161" t="s">
        <v>352</v>
      </c>
      <c r="N161" t="s">
        <v>287</v>
      </c>
      <c r="O161">
        <v>1.01</v>
      </c>
      <c r="P161" t="s">
        <v>288</v>
      </c>
      <c r="R161" t="s">
        <v>434</v>
      </c>
      <c r="S161">
        <v>0.01</v>
      </c>
      <c r="T161" t="s">
        <v>435</v>
      </c>
      <c r="V161" t="s">
        <v>289</v>
      </c>
      <c r="W161">
        <v>40.700000000000003</v>
      </c>
      <c r="X161" t="s">
        <v>290</v>
      </c>
      <c r="Z161" t="s">
        <v>341</v>
      </c>
      <c r="AA161">
        <v>21</v>
      </c>
      <c r="AB161" t="s">
        <v>342</v>
      </c>
      <c r="AD161" t="s">
        <v>343</v>
      </c>
      <c r="AE161">
        <v>71.599999999999994</v>
      </c>
      <c r="AF161" t="s">
        <v>344</v>
      </c>
      <c r="AH161" t="s">
        <v>319</v>
      </c>
      <c r="AI161">
        <v>166.43</v>
      </c>
      <c r="AJ161">
        <v>157.34</v>
      </c>
      <c r="AK161">
        <v>5.46</v>
      </c>
      <c r="AL161">
        <v>5.16</v>
      </c>
      <c r="AN161" t="s">
        <v>335</v>
      </c>
      <c r="AO161">
        <v>1715</v>
      </c>
      <c r="AP161" t="s">
        <v>336</v>
      </c>
    </row>
    <row r="162" spans="2:42" x14ac:dyDescent="0.2">
      <c r="B162" t="s">
        <v>317</v>
      </c>
      <c r="C162">
        <v>2.4</v>
      </c>
      <c r="D162" t="s">
        <v>318</v>
      </c>
      <c r="F162" t="s">
        <v>295</v>
      </c>
      <c r="G162">
        <v>67.8</v>
      </c>
      <c r="H162" t="s">
        <v>296</v>
      </c>
      <c r="J162" t="s">
        <v>353</v>
      </c>
      <c r="K162">
        <v>9.6</v>
      </c>
      <c r="L162" t="s">
        <v>354</v>
      </c>
      <c r="N162" t="s">
        <v>289</v>
      </c>
      <c r="O162">
        <v>0.94</v>
      </c>
      <c r="P162" t="s">
        <v>290</v>
      </c>
      <c r="R162" t="s">
        <v>305</v>
      </c>
      <c r="S162">
        <v>0.78</v>
      </c>
      <c r="T162" t="s">
        <v>306</v>
      </c>
      <c r="V162" t="s">
        <v>291</v>
      </c>
      <c r="W162">
        <v>42.2</v>
      </c>
      <c r="X162" t="s">
        <v>292</v>
      </c>
      <c r="Z162" t="s">
        <v>343</v>
      </c>
      <c r="AA162">
        <v>40.299999999999997</v>
      </c>
      <c r="AB162" t="s">
        <v>344</v>
      </c>
      <c r="AD162" t="s">
        <v>345</v>
      </c>
      <c r="AE162">
        <v>82.7</v>
      </c>
      <c r="AF162" t="s">
        <v>346</v>
      </c>
      <c r="AH162" t="s">
        <v>321</v>
      </c>
      <c r="AI162">
        <v>173.5</v>
      </c>
      <c r="AJ162">
        <v>161.30000000000001</v>
      </c>
      <c r="AK162">
        <v>5.69</v>
      </c>
      <c r="AL162">
        <v>5.29</v>
      </c>
      <c r="AN162" t="s">
        <v>337</v>
      </c>
      <c r="AO162">
        <v>43007</v>
      </c>
      <c r="AP162" t="s">
        <v>338</v>
      </c>
    </row>
    <row r="163" spans="2:42" x14ac:dyDescent="0.2">
      <c r="B163" t="s">
        <v>319</v>
      </c>
      <c r="C163">
        <v>4.3</v>
      </c>
      <c r="D163" t="s">
        <v>320</v>
      </c>
      <c r="F163" t="s">
        <v>297</v>
      </c>
      <c r="G163">
        <v>56.4</v>
      </c>
      <c r="H163" t="s">
        <v>298</v>
      </c>
      <c r="J163" t="s">
        <v>355</v>
      </c>
      <c r="K163">
        <v>12.9</v>
      </c>
      <c r="L163" t="s">
        <v>356</v>
      </c>
      <c r="N163" t="s">
        <v>291</v>
      </c>
      <c r="O163">
        <v>0.9</v>
      </c>
      <c r="P163" t="s">
        <v>292</v>
      </c>
      <c r="R163" t="s">
        <v>307</v>
      </c>
      <c r="S163">
        <v>0.64</v>
      </c>
      <c r="T163" t="s">
        <v>308</v>
      </c>
      <c r="V163" t="s">
        <v>412</v>
      </c>
      <c r="W163">
        <v>41.5</v>
      </c>
      <c r="X163" t="s">
        <v>413</v>
      </c>
      <c r="Z163" t="s">
        <v>345</v>
      </c>
      <c r="AA163">
        <v>76.099999999999994</v>
      </c>
      <c r="AB163" t="s">
        <v>346</v>
      </c>
      <c r="AD163" t="s">
        <v>349</v>
      </c>
      <c r="AE163">
        <v>71.8</v>
      </c>
      <c r="AF163" t="s">
        <v>350</v>
      </c>
      <c r="AH163" t="s">
        <v>432</v>
      </c>
      <c r="AI163">
        <v>181.02</v>
      </c>
      <c r="AJ163">
        <v>167.12</v>
      </c>
      <c r="AK163">
        <v>5.94</v>
      </c>
      <c r="AL163">
        <v>5.48</v>
      </c>
      <c r="AN163" t="s">
        <v>339</v>
      </c>
      <c r="AO163">
        <v>14509</v>
      </c>
      <c r="AP163" t="s">
        <v>340</v>
      </c>
    </row>
    <row r="164" spans="2:42" x14ac:dyDescent="0.2">
      <c r="B164" t="s">
        <v>321</v>
      </c>
      <c r="C164">
        <v>1.1000000000000001</v>
      </c>
      <c r="D164" t="s">
        <v>322</v>
      </c>
      <c r="F164" t="s">
        <v>299</v>
      </c>
      <c r="G164">
        <v>74.8</v>
      </c>
      <c r="H164" t="s">
        <v>300</v>
      </c>
      <c r="J164" t="s">
        <v>357</v>
      </c>
      <c r="K164">
        <v>1.6</v>
      </c>
      <c r="L164" t="s">
        <v>358</v>
      </c>
      <c r="N164" t="s">
        <v>412</v>
      </c>
      <c r="O164">
        <v>0.9</v>
      </c>
      <c r="P164" t="s">
        <v>413</v>
      </c>
      <c r="R164" t="s">
        <v>311</v>
      </c>
      <c r="S164">
        <v>1.88</v>
      </c>
      <c r="T164" t="s">
        <v>312</v>
      </c>
      <c r="V164" t="s">
        <v>293</v>
      </c>
      <c r="W164">
        <v>33.200000000000003</v>
      </c>
      <c r="X164" t="s">
        <v>294</v>
      </c>
      <c r="Z164" t="s">
        <v>347</v>
      </c>
      <c r="AA164">
        <v>72.900000000000006</v>
      </c>
      <c r="AB164" t="s">
        <v>348</v>
      </c>
      <c r="AD164" t="s">
        <v>351</v>
      </c>
      <c r="AE164">
        <v>70.900000000000006</v>
      </c>
      <c r="AF164" t="s">
        <v>352</v>
      </c>
      <c r="AH164" t="s">
        <v>325</v>
      </c>
      <c r="AI164">
        <v>180.98</v>
      </c>
      <c r="AJ164">
        <v>167.2</v>
      </c>
      <c r="AK164">
        <v>5.94</v>
      </c>
      <c r="AL164">
        <v>5.49</v>
      </c>
      <c r="AN164" t="s">
        <v>341</v>
      </c>
      <c r="AO164">
        <v>3986</v>
      </c>
      <c r="AP164" t="s">
        <v>342</v>
      </c>
    </row>
    <row r="165" spans="2:42" x14ac:dyDescent="0.2">
      <c r="B165" t="s">
        <v>323</v>
      </c>
      <c r="C165">
        <v>2</v>
      </c>
      <c r="D165" t="s">
        <v>324</v>
      </c>
      <c r="F165" t="s">
        <v>301</v>
      </c>
      <c r="G165">
        <v>17.399999999999999</v>
      </c>
      <c r="H165" t="s">
        <v>302</v>
      </c>
      <c r="J165" t="s">
        <v>359</v>
      </c>
      <c r="K165">
        <v>10</v>
      </c>
      <c r="L165" t="s">
        <v>360</v>
      </c>
      <c r="N165" t="s">
        <v>293</v>
      </c>
      <c r="O165">
        <v>3.39</v>
      </c>
      <c r="P165" t="s">
        <v>294</v>
      </c>
      <c r="R165" t="s">
        <v>313</v>
      </c>
      <c r="S165">
        <v>2.92</v>
      </c>
      <c r="T165" t="s">
        <v>314</v>
      </c>
      <c r="V165" t="s">
        <v>297</v>
      </c>
      <c r="W165">
        <v>41.1</v>
      </c>
      <c r="X165" t="s">
        <v>298</v>
      </c>
      <c r="Z165" t="s">
        <v>349</v>
      </c>
      <c r="AA165">
        <v>21.2</v>
      </c>
      <c r="AB165" t="s">
        <v>350</v>
      </c>
      <c r="AD165" t="s">
        <v>353</v>
      </c>
      <c r="AE165">
        <v>65</v>
      </c>
      <c r="AF165" t="s">
        <v>354</v>
      </c>
      <c r="AH165" t="s">
        <v>327</v>
      </c>
      <c r="AI165">
        <v>163.07</v>
      </c>
      <c r="AJ165">
        <v>156.79</v>
      </c>
      <c r="AK165">
        <v>5.35</v>
      </c>
      <c r="AL165">
        <v>5.14</v>
      </c>
      <c r="AN165" t="s">
        <v>343</v>
      </c>
      <c r="AO165">
        <v>16044</v>
      </c>
      <c r="AP165" t="s">
        <v>344</v>
      </c>
    </row>
    <row r="166" spans="2:42" x14ac:dyDescent="0.2">
      <c r="B166" t="s">
        <v>325</v>
      </c>
      <c r="C166">
        <v>1.6</v>
      </c>
      <c r="D166" t="s">
        <v>326</v>
      </c>
      <c r="F166" t="s">
        <v>438</v>
      </c>
      <c r="G166">
        <v>40.1</v>
      </c>
      <c r="H166" t="s">
        <v>439</v>
      </c>
      <c r="J166" t="s">
        <v>361</v>
      </c>
      <c r="K166">
        <v>16.600000000000001</v>
      </c>
      <c r="L166" t="s">
        <v>362</v>
      </c>
      <c r="N166" t="s">
        <v>297</v>
      </c>
      <c r="O166">
        <v>0.95</v>
      </c>
      <c r="P166" t="s">
        <v>298</v>
      </c>
      <c r="R166" t="s">
        <v>315</v>
      </c>
      <c r="S166">
        <v>-0.48</v>
      </c>
      <c r="T166" t="s">
        <v>316</v>
      </c>
      <c r="V166" t="s">
        <v>299</v>
      </c>
      <c r="W166">
        <v>39.6</v>
      </c>
      <c r="X166" t="s">
        <v>300</v>
      </c>
      <c r="Z166" t="s">
        <v>351</v>
      </c>
      <c r="AA166">
        <v>8.6999999999999993</v>
      </c>
      <c r="AB166" t="s">
        <v>352</v>
      </c>
      <c r="AD166" t="s">
        <v>355</v>
      </c>
      <c r="AE166">
        <v>76.900000000000006</v>
      </c>
      <c r="AF166" t="s">
        <v>356</v>
      </c>
      <c r="AH166" t="s">
        <v>329</v>
      </c>
      <c r="AI166">
        <v>171.22</v>
      </c>
      <c r="AJ166">
        <v>159.86000000000001</v>
      </c>
      <c r="AK166">
        <v>5.62</v>
      </c>
      <c r="AL166">
        <v>5.24</v>
      </c>
      <c r="AN166" t="s">
        <v>345</v>
      </c>
      <c r="AO166">
        <v>55989</v>
      </c>
      <c r="AP166" t="s">
        <v>346</v>
      </c>
    </row>
    <row r="167" spans="2:42" x14ac:dyDescent="0.2">
      <c r="B167" t="s">
        <v>327</v>
      </c>
      <c r="C167">
        <v>4.4000000000000004</v>
      </c>
      <c r="D167" t="s">
        <v>328</v>
      </c>
      <c r="F167" t="s">
        <v>444</v>
      </c>
      <c r="G167">
        <v>30.8</v>
      </c>
      <c r="H167" t="s">
        <v>445</v>
      </c>
      <c r="J167" t="s">
        <v>363</v>
      </c>
      <c r="K167">
        <v>4</v>
      </c>
      <c r="L167" t="s">
        <v>364</v>
      </c>
      <c r="N167" t="s">
        <v>299</v>
      </c>
      <c r="O167">
        <v>0.86</v>
      </c>
      <c r="P167" t="s">
        <v>300</v>
      </c>
      <c r="R167" t="s">
        <v>317</v>
      </c>
      <c r="S167">
        <v>0.39</v>
      </c>
      <c r="T167" t="s">
        <v>318</v>
      </c>
      <c r="V167" t="s">
        <v>301</v>
      </c>
      <c r="W167">
        <v>19</v>
      </c>
      <c r="X167" t="s">
        <v>302</v>
      </c>
      <c r="Z167" t="s">
        <v>353</v>
      </c>
      <c r="AA167">
        <v>10</v>
      </c>
      <c r="AB167" t="s">
        <v>354</v>
      </c>
      <c r="AD167" t="s">
        <v>357</v>
      </c>
      <c r="AE167">
        <v>73.8</v>
      </c>
      <c r="AF167" t="s">
        <v>358</v>
      </c>
      <c r="AH167" t="s">
        <v>331</v>
      </c>
      <c r="AI167">
        <v>169.63</v>
      </c>
      <c r="AJ167">
        <v>158.58000000000001</v>
      </c>
      <c r="AK167">
        <v>5.57</v>
      </c>
      <c r="AL167">
        <v>5.2</v>
      </c>
      <c r="AN167" t="s">
        <v>347</v>
      </c>
      <c r="AO167">
        <v>67558</v>
      </c>
      <c r="AP167" t="s">
        <v>348</v>
      </c>
    </row>
    <row r="168" spans="2:42" x14ac:dyDescent="0.2">
      <c r="B168" t="s">
        <v>329</v>
      </c>
      <c r="C168">
        <v>6.1</v>
      </c>
      <c r="D168" t="s">
        <v>330</v>
      </c>
      <c r="F168" t="s">
        <v>446</v>
      </c>
      <c r="G168">
        <v>18.8</v>
      </c>
      <c r="H168" t="s">
        <v>447</v>
      </c>
      <c r="J168" t="s">
        <v>365</v>
      </c>
      <c r="K168">
        <v>12.9</v>
      </c>
      <c r="L168" t="s">
        <v>366</v>
      </c>
      <c r="N168" t="s">
        <v>301</v>
      </c>
      <c r="O168">
        <v>0.96</v>
      </c>
      <c r="P168" t="s">
        <v>302</v>
      </c>
      <c r="R168" t="s">
        <v>319</v>
      </c>
      <c r="S168">
        <v>1.91</v>
      </c>
      <c r="T168" t="s">
        <v>320</v>
      </c>
      <c r="V168" t="s">
        <v>453</v>
      </c>
      <c r="W168">
        <v>44.1</v>
      </c>
      <c r="X168" t="s">
        <v>454</v>
      </c>
      <c r="Z168" t="s">
        <v>355</v>
      </c>
      <c r="AA168">
        <v>27.9</v>
      </c>
      <c r="AB168" t="s">
        <v>356</v>
      </c>
      <c r="AD168" t="s">
        <v>359</v>
      </c>
      <c r="AE168">
        <v>61.7</v>
      </c>
      <c r="AF168" t="s">
        <v>360</v>
      </c>
      <c r="AH168" t="s">
        <v>333</v>
      </c>
      <c r="AI168">
        <v>175.52</v>
      </c>
      <c r="AJ168">
        <v>163.22999999999999</v>
      </c>
      <c r="AK168">
        <v>5.76</v>
      </c>
      <c r="AL168">
        <v>5.36</v>
      </c>
      <c r="AN168" t="s">
        <v>424</v>
      </c>
      <c r="AO168">
        <v>57214</v>
      </c>
      <c r="AP168" t="s">
        <v>425</v>
      </c>
    </row>
    <row r="169" spans="2:42" x14ac:dyDescent="0.2">
      <c r="B169" t="s">
        <v>331</v>
      </c>
      <c r="C169">
        <v>2.4</v>
      </c>
      <c r="D169" t="s">
        <v>332</v>
      </c>
      <c r="F169" t="s">
        <v>418</v>
      </c>
      <c r="G169">
        <v>90</v>
      </c>
      <c r="H169" t="s">
        <v>419</v>
      </c>
      <c r="J169" t="s">
        <v>367</v>
      </c>
      <c r="K169">
        <v>3.2</v>
      </c>
      <c r="L169" t="s">
        <v>368</v>
      </c>
      <c r="N169" t="s">
        <v>453</v>
      </c>
      <c r="O169">
        <v>1.1200000000000001</v>
      </c>
      <c r="P169" t="s">
        <v>454</v>
      </c>
      <c r="R169" t="s">
        <v>321</v>
      </c>
      <c r="S169">
        <v>2.4500000000000002</v>
      </c>
      <c r="T169" t="s">
        <v>322</v>
      </c>
      <c r="V169" t="s">
        <v>444</v>
      </c>
      <c r="W169">
        <v>35</v>
      </c>
      <c r="X169" t="s">
        <v>445</v>
      </c>
      <c r="Z169" t="s">
        <v>357</v>
      </c>
      <c r="AA169">
        <v>123.6</v>
      </c>
      <c r="AB169" t="s">
        <v>358</v>
      </c>
      <c r="AD169" t="s">
        <v>361</v>
      </c>
      <c r="AE169">
        <v>60.8</v>
      </c>
      <c r="AF169" t="s">
        <v>362</v>
      </c>
      <c r="AH169" t="s">
        <v>337</v>
      </c>
      <c r="AI169">
        <v>176.11</v>
      </c>
      <c r="AJ169">
        <v>162.03</v>
      </c>
      <c r="AK169">
        <v>5.78</v>
      </c>
      <c r="AL169">
        <v>5.32</v>
      </c>
      <c r="AN169" t="s">
        <v>351</v>
      </c>
      <c r="AO169">
        <v>3751</v>
      </c>
      <c r="AP169" t="s">
        <v>352</v>
      </c>
    </row>
    <row r="170" spans="2:42" x14ac:dyDescent="0.2">
      <c r="B170" t="s">
        <v>333</v>
      </c>
      <c r="C170">
        <v>1.6</v>
      </c>
      <c r="D170" t="s">
        <v>334</v>
      </c>
      <c r="F170" t="s">
        <v>434</v>
      </c>
      <c r="G170">
        <v>53</v>
      </c>
      <c r="H170" t="s">
        <v>435</v>
      </c>
      <c r="J170" t="s">
        <v>369</v>
      </c>
      <c r="K170">
        <v>7.2</v>
      </c>
      <c r="L170" t="s">
        <v>370</v>
      </c>
      <c r="N170" t="s">
        <v>438</v>
      </c>
      <c r="O170">
        <v>1.01</v>
      </c>
      <c r="P170" t="s">
        <v>439</v>
      </c>
      <c r="R170" t="s">
        <v>432</v>
      </c>
      <c r="S170">
        <v>0.22</v>
      </c>
      <c r="T170" t="s">
        <v>433</v>
      </c>
      <c r="V170" t="s">
        <v>446</v>
      </c>
      <c r="W170">
        <v>34.799999999999997</v>
      </c>
      <c r="X170" t="s">
        <v>447</v>
      </c>
      <c r="Z170" t="s">
        <v>359</v>
      </c>
      <c r="AA170">
        <v>5.2</v>
      </c>
      <c r="AB170" t="s">
        <v>360</v>
      </c>
      <c r="AD170" t="s">
        <v>363</v>
      </c>
      <c r="AE170">
        <v>70.8</v>
      </c>
      <c r="AF170" t="s">
        <v>364</v>
      </c>
      <c r="AH170" t="s">
        <v>339</v>
      </c>
      <c r="AI170">
        <v>168.07</v>
      </c>
      <c r="AJ170">
        <v>155.88</v>
      </c>
      <c r="AK170">
        <v>5.51</v>
      </c>
      <c r="AL170">
        <v>5.1100000000000003</v>
      </c>
      <c r="AN170" t="s">
        <v>353</v>
      </c>
      <c r="AO170">
        <v>3652</v>
      </c>
      <c r="AP170" t="s">
        <v>354</v>
      </c>
    </row>
    <row r="171" spans="2:42" x14ac:dyDescent="0.2">
      <c r="B171" t="s">
        <v>335</v>
      </c>
      <c r="C171">
        <v>4.7</v>
      </c>
      <c r="D171" t="s">
        <v>336</v>
      </c>
      <c r="F171" t="s">
        <v>307</v>
      </c>
      <c r="G171">
        <v>97.5</v>
      </c>
      <c r="H171" t="s">
        <v>308</v>
      </c>
      <c r="J171" t="s">
        <v>371</v>
      </c>
      <c r="K171">
        <v>7.2</v>
      </c>
      <c r="L171" t="s">
        <v>372</v>
      </c>
      <c r="N171" t="s">
        <v>444</v>
      </c>
      <c r="O171">
        <v>1</v>
      </c>
      <c r="P171" t="s">
        <v>445</v>
      </c>
      <c r="R171" t="s">
        <v>325</v>
      </c>
      <c r="S171">
        <v>0.26</v>
      </c>
      <c r="T171" t="s">
        <v>326</v>
      </c>
      <c r="V171" t="s">
        <v>303</v>
      </c>
      <c r="W171">
        <v>32.5</v>
      </c>
      <c r="X171" t="s">
        <v>304</v>
      </c>
      <c r="Z171" t="s">
        <v>361</v>
      </c>
      <c r="AA171">
        <v>8.5</v>
      </c>
      <c r="AB171" t="s">
        <v>362</v>
      </c>
      <c r="AD171" t="s">
        <v>365</v>
      </c>
      <c r="AE171">
        <v>73.400000000000006</v>
      </c>
      <c r="AF171" t="s">
        <v>366</v>
      </c>
      <c r="AH171" t="s">
        <v>341</v>
      </c>
      <c r="AI171">
        <v>172.07</v>
      </c>
      <c r="AJ171">
        <v>160.36000000000001</v>
      </c>
      <c r="AK171">
        <v>5.65</v>
      </c>
      <c r="AL171">
        <v>5.26</v>
      </c>
      <c r="AN171" t="s">
        <v>355</v>
      </c>
      <c r="AO171">
        <v>21361</v>
      </c>
      <c r="AP171" t="s">
        <v>356</v>
      </c>
    </row>
    <row r="172" spans="2:42" x14ac:dyDescent="0.2">
      <c r="B172" t="s">
        <v>337</v>
      </c>
      <c r="C172">
        <v>1.3</v>
      </c>
      <c r="D172" t="s">
        <v>338</v>
      </c>
      <c r="F172" t="s">
        <v>311</v>
      </c>
      <c r="G172">
        <v>84.3</v>
      </c>
      <c r="H172" t="s">
        <v>312</v>
      </c>
      <c r="J172" t="s">
        <v>373</v>
      </c>
      <c r="K172">
        <v>20</v>
      </c>
      <c r="L172" t="s">
        <v>374</v>
      </c>
      <c r="N172" t="s">
        <v>446</v>
      </c>
      <c r="O172">
        <v>0.95</v>
      </c>
      <c r="P172" t="s">
        <v>447</v>
      </c>
      <c r="R172" t="s">
        <v>327</v>
      </c>
      <c r="S172">
        <v>2.13</v>
      </c>
      <c r="T172" t="s">
        <v>328</v>
      </c>
      <c r="V172" t="s">
        <v>418</v>
      </c>
      <c r="W172">
        <v>46.5</v>
      </c>
      <c r="X172" t="s">
        <v>419</v>
      </c>
      <c r="Z172" t="s">
        <v>365</v>
      </c>
      <c r="AA172">
        <v>57.8</v>
      </c>
      <c r="AB172" t="s">
        <v>366</v>
      </c>
      <c r="AD172" t="s">
        <v>367</v>
      </c>
      <c r="AE172">
        <v>76.5</v>
      </c>
      <c r="AF172" t="s">
        <v>368</v>
      </c>
      <c r="AH172" t="s">
        <v>343</v>
      </c>
      <c r="AI172">
        <v>174.51</v>
      </c>
      <c r="AJ172">
        <v>162.26</v>
      </c>
      <c r="AK172">
        <v>5.73</v>
      </c>
      <c r="AL172">
        <v>5.32</v>
      </c>
      <c r="AN172" t="s">
        <v>357</v>
      </c>
      <c r="AO172">
        <v>33432</v>
      </c>
      <c r="AP172" t="s">
        <v>358</v>
      </c>
    </row>
    <row r="173" spans="2:42" x14ac:dyDescent="0.2">
      <c r="B173" t="s">
        <v>339</v>
      </c>
      <c r="C173">
        <v>2.2000000000000002</v>
      </c>
      <c r="D173" t="s">
        <v>340</v>
      </c>
      <c r="F173" t="s">
        <v>313</v>
      </c>
      <c r="G173">
        <v>48.1</v>
      </c>
      <c r="H173" t="s">
        <v>314</v>
      </c>
      <c r="J173" t="s">
        <v>375</v>
      </c>
      <c r="K173">
        <v>18.5</v>
      </c>
      <c r="L173" t="s">
        <v>376</v>
      </c>
      <c r="N173" t="s">
        <v>303</v>
      </c>
      <c r="O173">
        <v>0.92</v>
      </c>
      <c r="P173" t="s">
        <v>304</v>
      </c>
      <c r="R173" t="s">
        <v>329</v>
      </c>
      <c r="S173">
        <v>2.86</v>
      </c>
      <c r="T173" t="s">
        <v>330</v>
      </c>
      <c r="V173" t="s">
        <v>434</v>
      </c>
      <c r="W173">
        <v>33.6</v>
      </c>
      <c r="X173" t="s">
        <v>435</v>
      </c>
      <c r="Z173" t="s">
        <v>367</v>
      </c>
      <c r="AA173">
        <v>25.5</v>
      </c>
      <c r="AB173" t="s">
        <v>368</v>
      </c>
      <c r="AD173" t="s">
        <v>369</v>
      </c>
      <c r="AE173">
        <v>78.3</v>
      </c>
      <c r="AF173" t="s">
        <v>370</v>
      </c>
      <c r="AH173" t="s">
        <v>345</v>
      </c>
      <c r="AI173">
        <v>180.46</v>
      </c>
      <c r="AJ173">
        <v>166.67</v>
      </c>
      <c r="AK173">
        <v>5.92</v>
      </c>
      <c r="AL173">
        <v>5.47</v>
      </c>
      <c r="AN173" t="s">
        <v>359</v>
      </c>
      <c r="AO173">
        <v>2892</v>
      </c>
      <c r="AP173" t="s">
        <v>360</v>
      </c>
    </row>
    <row r="174" spans="2:42" x14ac:dyDescent="0.2">
      <c r="B174" t="s">
        <v>341</v>
      </c>
      <c r="C174">
        <v>4.4000000000000004</v>
      </c>
      <c r="D174" t="s">
        <v>342</v>
      </c>
      <c r="F174" t="s">
        <v>315</v>
      </c>
      <c r="G174">
        <v>56.4</v>
      </c>
      <c r="H174" t="s">
        <v>316</v>
      </c>
      <c r="J174" t="s">
        <v>377</v>
      </c>
      <c r="K174">
        <v>2.7</v>
      </c>
      <c r="L174" t="s">
        <v>378</v>
      </c>
      <c r="N174" t="s">
        <v>418</v>
      </c>
      <c r="O174">
        <v>0.94</v>
      </c>
      <c r="P174" t="s">
        <v>419</v>
      </c>
      <c r="R174" t="s">
        <v>331</v>
      </c>
      <c r="S174">
        <v>1.18</v>
      </c>
      <c r="T174" t="s">
        <v>332</v>
      </c>
      <c r="V174" t="s">
        <v>305</v>
      </c>
      <c r="W174">
        <v>24.4</v>
      </c>
      <c r="X174" t="s">
        <v>306</v>
      </c>
      <c r="Z174" t="s">
        <v>369</v>
      </c>
      <c r="AA174">
        <v>19.3</v>
      </c>
      <c r="AB174" t="s">
        <v>370</v>
      </c>
      <c r="AD174" t="s">
        <v>371</v>
      </c>
      <c r="AE174">
        <v>68.099999999999994</v>
      </c>
      <c r="AF174" t="s">
        <v>372</v>
      </c>
      <c r="AH174" t="s">
        <v>347</v>
      </c>
      <c r="AI174">
        <v>178.73</v>
      </c>
      <c r="AJ174">
        <v>164.33</v>
      </c>
      <c r="AK174">
        <v>5.86</v>
      </c>
      <c r="AL174">
        <v>5.39</v>
      </c>
      <c r="AN174" t="s">
        <v>361</v>
      </c>
      <c r="AO174">
        <v>1913</v>
      </c>
      <c r="AP174" t="s">
        <v>362</v>
      </c>
    </row>
    <row r="175" spans="2:42" x14ac:dyDescent="0.2">
      <c r="B175" t="s">
        <v>343</v>
      </c>
      <c r="C175">
        <v>2.4</v>
      </c>
      <c r="D175" t="s">
        <v>344</v>
      </c>
      <c r="F175" t="s">
        <v>317</v>
      </c>
      <c r="G175">
        <v>57.5</v>
      </c>
      <c r="H175" t="s">
        <v>318</v>
      </c>
      <c r="J175" t="s">
        <v>379</v>
      </c>
      <c r="K175">
        <v>7.6</v>
      </c>
      <c r="L175" t="s">
        <v>380</v>
      </c>
      <c r="N175" t="s">
        <v>434</v>
      </c>
      <c r="O175">
        <v>1.04</v>
      </c>
      <c r="P175" t="s">
        <v>435</v>
      </c>
      <c r="R175" t="s">
        <v>333</v>
      </c>
      <c r="S175">
        <v>0.45</v>
      </c>
      <c r="T175" t="s">
        <v>334</v>
      </c>
      <c r="V175" t="s">
        <v>307</v>
      </c>
      <c r="W175">
        <v>44.4</v>
      </c>
      <c r="X175" t="s">
        <v>308</v>
      </c>
      <c r="Z175" t="s">
        <v>371</v>
      </c>
      <c r="AA175">
        <v>41.7</v>
      </c>
      <c r="AB175" t="s">
        <v>372</v>
      </c>
      <c r="AD175" t="s">
        <v>373</v>
      </c>
      <c r="AE175">
        <v>63</v>
      </c>
      <c r="AF175" t="s">
        <v>374</v>
      </c>
      <c r="AH175" t="s">
        <v>349</v>
      </c>
      <c r="AI175">
        <v>171.64</v>
      </c>
      <c r="AJ175">
        <v>159.38</v>
      </c>
      <c r="AK175">
        <v>5.63</v>
      </c>
      <c r="AL175">
        <v>5.23</v>
      </c>
      <c r="AN175" t="s">
        <v>363</v>
      </c>
      <c r="AO175">
        <v>6867</v>
      </c>
      <c r="AP175" t="s">
        <v>364</v>
      </c>
    </row>
    <row r="176" spans="2:42" x14ac:dyDescent="0.2">
      <c r="B176" t="s">
        <v>345</v>
      </c>
      <c r="C176">
        <v>1.8</v>
      </c>
      <c r="D176" t="s">
        <v>346</v>
      </c>
      <c r="F176" t="s">
        <v>319</v>
      </c>
      <c r="G176">
        <v>42.9</v>
      </c>
      <c r="H176" t="s">
        <v>320</v>
      </c>
      <c r="J176" t="s">
        <v>381</v>
      </c>
      <c r="K176">
        <v>13.7</v>
      </c>
      <c r="L176" t="s">
        <v>382</v>
      </c>
      <c r="N176" t="s">
        <v>305</v>
      </c>
      <c r="O176">
        <v>1.04</v>
      </c>
      <c r="P176" t="s">
        <v>306</v>
      </c>
      <c r="R176" t="s">
        <v>335</v>
      </c>
      <c r="S176">
        <v>4.3</v>
      </c>
      <c r="T176" t="s">
        <v>336</v>
      </c>
      <c r="V176" t="s">
        <v>309</v>
      </c>
      <c r="W176">
        <v>18.399999999999999</v>
      </c>
      <c r="X176" t="s">
        <v>310</v>
      </c>
      <c r="Z176" t="s">
        <v>373</v>
      </c>
      <c r="AA176">
        <v>11.7</v>
      </c>
      <c r="AB176" t="s">
        <v>374</v>
      </c>
      <c r="AD176" t="s">
        <v>375</v>
      </c>
      <c r="AE176">
        <v>72</v>
      </c>
      <c r="AF176" t="s">
        <v>376</v>
      </c>
      <c r="AH176" t="s">
        <v>424</v>
      </c>
      <c r="AI176">
        <v>173.53</v>
      </c>
      <c r="AJ176">
        <v>160.69999999999999</v>
      </c>
      <c r="AK176">
        <v>5.69</v>
      </c>
      <c r="AL176">
        <v>5.27</v>
      </c>
      <c r="AN176" t="s">
        <v>365</v>
      </c>
      <c r="AO176">
        <v>33713</v>
      </c>
      <c r="AP176" t="s">
        <v>366</v>
      </c>
    </row>
    <row r="177" spans="2:42" x14ac:dyDescent="0.2">
      <c r="B177" t="s">
        <v>347</v>
      </c>
      <c r="C177">
        <v>1.5</v>
      </c>
      <c r="D177" t="s">
        <v>348</v>
      </c>
      <c r="F177" t="s">
        <v>321</v>
      </c>
      <c r="G177">
        <v>100</v>
      </c>
      <c r="H177" t="s">
        <v>322</v>
      </c>
      <c r="J177" t="s">
        <v>383</v>
      </c>
      <c r="K177">
        <v>16.5</v>
      </c>
      <c r="L177" t="s">
        <v>384</v>
      </c>
      <c r="N177" t="s">
        <v>307</v>
      </c>
      <c r="O177">
        <v>0.94</v>
      </c>
      <c r="P177" t="s">
        <v>308</v>
      </c>
      <c r="R177" t="s">
        <v>337</v>
      </c>
      <c r="S177">
        <v>0.09</v>
      </c>
      <c r="T177" t="s">
        <v>338</v>
      </c>
      <c r="V177" t="s">
        <v>311</v>
      </c>
      <c r="W177">
        <v>27.5</v>
      </c>
      <c r="X177" t="s">
        <v>312</v>
      </c>
      <c r="Z177" t="s">
        <v>375</v>
      </c>
      <c r="AA177">
        <v>32.299999999999997</v>
      </c>
      <c r="AB177" t="s">
        <v>376</v>
      </c>
      <c r="AD177" t="s">
        <v>377</v>
      </c>
      <c r="AE177">
        <v>77.8</v>
      </c>
      <c r="AF177" t="s">
        <v>378</v>
      </c>
      <c r="AH177" t="s">
        <v>351</v>
      </c>
      <c r="AI177">
        <v>168.43</v>
      </c>
      <c r="AJ177">
        <v>158.12</v>
      </c>
      <c r="AK177">
        <v>5.53</v>
      </c>
      <c r="AL177">
        <v>5.19</v>
      </c>
      <c r="AN177" t="s">
        <v>367</v>
      </c>
      <c r="AO177">
        <v>13093</v>
      </c>
      <c r="AP177" t="s">
        <v>368</v>
      </c>
    </row>
    <row r="178" spans="2:42" x14ac:dyDescent="0.2">
      <c r="B178" t="s">
        <v>349</v>
      </c>
      <c r="C178">
        <v>2.8</v>
      </c>
      <c r="D178" t="s">
        <v>350</v>
      </c>
      <c r="F178" t="s">
        <v>323</v>
      </c>
      <c r="G178">
        <v>100</v>
      </c>
      <c r="H178" t="s">
        <v>324</v>
      </c>
      <c r="J178" t="s">
        <v>385</v>
      </c>
      <c r="K178">
        <v>7.4</v>
      </c>
      <c r="L178" t="s">
        <v>386</v>
      </c>
      <c r="N178" t="s">
        <v>309</v>
      </c>
      <c r="O178">
        <v>1</v>
      </c>
      <c r="P178" t="s">
        <v>310</v>
      </c>
      <c r="R178" t="s">
        <v>339</v>
      </c>
      <c r="S178">
        <v>1.04</v>
      </c>
      <c r="T178" t="s">
        <v>340</v>
      </c>
      <c r="V178" t="s">
        <v>313</v>
      </c>
      <c r="W178">
        <v>18.8</v>
      </c>
      <c r="X178" t="s">
        <v>314</v>
      </c>
      <c r="Z178" t="s">
        <v>377</v>
      </c>
      <c r="AA178">
        <v>74.400000000000006</v>
      </c>
      <c r="AB178" t="s">
        <v>378</v>
      </c>
      <c r="AD178" t="s">
        <v>379</v>
      </c>
      <c r="AE178">
        <v>81.2</v>
      </c>
      <c r="AF178" t="s">
        <v>380</v>
      </c>
      <c r="AH178" t="s">
        <v>353</v>
      </c>
      <c r="AI178">
        <v>166.98</v>
      </c>
      <c r="AJ178">
        <v>156.88999999999999</v>
      </c>
      <c r="AK178">
        <v>5.48</v>
      </c>
      <c r="AL178">
        <v>5.15</v>
      </c>
      <c r="AN178" t="s">
        <v>369</v>
      </c>
      <c r="AO178">
        <v>29327</v>
      </c>
      <c r="AP178" t="s">
        <v>370</v>
      </c>
    </row>
    <row r="179" spans="2:42" x14ac:dyDescent="0.2">
      <c r="B179" t="s">
        <v>351</v>
      </c>
      <c r="C179">
        <v>3.6</v>
      </c>
      <c r="D179" t="s">
        <v>352</v>
      </c>
      <c r="F179" t="s">
        <v>432</v>
      </c>
      <c r="G179">
        <v>53.8</v>
      </c>
      <c r="H179" t="s">
        <v>433</v>
      </c>
      <c r="J179" t="s">
        <v>387</v>
      </c>
      <c r="K179">
        <v>5.4</v>
      </c>
      <c r="L179" t="s">
        <v>388</v>
      </c>
      <c r="N179" t="s">
        <v>311</v>
      </c>
      <c r="O179">
        <v>1.3</v>
      </c>
      <c r="P179" t="s">
        <v>312</v>
      </c>
      <c r="R179" t="s">
        <v>341</v>
      </c>
      <c r="S179">
        <v>2.08</v>
      </c>
      <c r="T179" t="s">
        <v>342</v>
      </c>
      <c r="V179" t="s">
        <v>315</v>
      </c>
      <c r="W179">
        <v>42.6</v>
      </c>
      <c r="X179" t="s">
        <v>316</v>
      </c>
      <c r="Z179" t="s">
        <v>379</v>
      </c>
      <c r="AA179">
        <v>79.599999999999994</v>
      </c>
      <c r="AB179" t="s">
        <v>380</v>
      </c>
      <c r="AD179" t="s">
        <v>381</v>
      </c>
      <c r="AE179">
        <v>78.900000000000006</v>
      </c>
      <c r="AF179" t="s">
        <v>382</v>
      </c>
      <c r="AH179" t="s">
        <v>355</v>
      </c>
      <c r="AI179">
        <v>171.61</v>
      </c>
      <c r="AJ179">
        <v>159.41999999999999</v>
      </c>
      <c r="AK179">
        <v>5.63</v>
      </c>
      <c r="AL179">
        <v>5.23</v>
      </c>
      <c r="AN179" t="s">
        <v>371</v>
      </c>
      <c r="AO179">
        <v>21855</v>
      </c>
      <c r="AP179" t="s">
        <v>372</v>
      </c>
    </row>
    <row r="180" spans="2:42" x14ac:dyDescent="0.2">
      <c r="B180" t="s">
        <v>353</v>
      </c>
      <c r="C180">
        <v>4.9000000000000004</v>
      </c>
      <c r="D180" t="s">
        <v>354</v>
      </c>
      <c r="F180" t="s">
        <v>325</v>
      </c>
      <c r="G180">
        <v>55.1</v>
      </c>
      <c r="H180" t="s">
        <v>326</v>
      </c>
      <c r="J180" t="s">
        <v>389</v>
      </c>
      <c r="K180">
        <v>3.8</v>
      </c>
      <c r="L180" t="s">
        <v>390</v>
      </c>
      <c r="N180" t="s">
        <v>313</v>
      </c>
      <c r="O180">
        <v>0.94</v>
      </c>
      <c r="P180" t="s">
        <v>314</v>
      </c>
      <c r="R180" t="s">
        <v>343</v>
      </c>
      <c r="S180">
        <v>0.9</v>
      </c>
      <c r="T180" t="s">
        <v>344</v>
      </c>
      <c r="V180" t="s">
        <v>317</v>
      </c>
      <c r="W180">
        <v>35.4</v>
      </c>
      <c r="X180" t="s">
        <v>318</v>
      </c>
      <c r="Z180" t="s">
        <v>381</v>
      </c>
      <c r="AA180">
        <v>124.8</v>
      </c>
      <c r="AB180" t="s">
        <v>382</v>
      </c>
      <c r="AD180" t="s">
        <v>383</v>
      </c>
      <c r="AE180">
        <v>77.8</v>
      </c>
      <c r="AF180" t="s">
        <v>384</v>
      </c>
      <c r="AH180" t="s">
        <v>478</v>
      </c>
      <c r="AI180">
        <v>160.13</v>
      </c>
      <c r="AJ180">
        <v>152.71</v>
      </c>
      <c r="AK180">
        <v>5.25</v>
      </c>
      <c r="AL180">
        <v>5.01</v>
      </c>
      <c r="AN180" t="s">
        <v>430</v>
      </c>
      <c r="AO180">
        <v>4535</v>
      </c>
      <c r="AP180" t="s">
        <v>431</v>
      </c>
    </row>
    <row r="181" spans="2:42" x14ac:dyDescent="0.2">
      <c r="B181" t="s">
        <v>355</v>
      </c>
      <c r="C181">
        <v>1.5</v>
      </c>
      <c r="D181" t="s">
        <v>356</v>
      </c>
      <c r="F181" t="s">
        <v>327</v>
      </c>
      <c r="G181">
        <v>24.7</v>
      </c>
      <c r="H181" t="s">
        <v>328</v>
      </c>
      <c r="J181" t="s">
        <v>391</v>
      </c>
      <c r="K181">
        <v>7</v>
      </c>
      <c r="L181" t="s">
        <v>392</v>
      </c>
      <c r="N181" t="s">
        <v>315</v>
      </c>
      <c r="O181">
        <v>0.95</v>
      </c>
      <c r="P181" t="s">
        <v>316</v>
      </c>
      <c r="R181" t="s">
        <v>345</v>
      </c>
      <c r="S181">
        <v>0.71</v>
      </c>
      <c r="T181" t="s">
        <v>346</v>
      </c>
      <c r="V181" t="s">
        <v>319</v>
      </c>
      <c r="W181">
        <v>19</v>
      </c>
      <c r="X181" t="s">
        <v>320</v>
      </c>
      <c r="Z181" t="s">
        <v>383</v>
      </c>
      <c r="AA181">
        <v>98.6</v>
      </c>
      <c r="AB181" t="s">
        <v>384</v>
      </c>
      <c r="AD181" t="s">
        <v>385</v>
      </c>
      <c r="AE181">
        <v>71.5</v>
      </c>
      <c r="AF181" t="s">
        <v>386</v>
      </c>
      <c r="AH181" t="s">
        <v>361</v>
      </c>
      <c r="AI181">
        <v>170.14</v>
      </c>
      <c r="AJ181">
        <v>159.13</v>
      </c>
      <c r="AK181">
        <v>5.58</v>
      </c>
      <c r="AL181">
        <v>5.22</v>
      </c>
      <c r="AN181" t="s">
        <v>373</v>
      </c>
      <c r="AO181">
        <v>2753</v>
      </c>
      <c r="AP181" t="s">
        <v>374</v>
      </c>
    </row>
    <row r="182" spans="2:42" x14ac:dyDescent="0.2">
      <c r="B182" t="s">
        <v>357</v>
      </c>
      <c r="C182">
        <v>1.8</v>
      </c>
      <c r="D182" t="s">
        <v>358</v>
      </c>
      <c r="F182" t="s">
        <v>329</v>
      </c>
      <c r="G182">
        <v>46.1</v>
      </c>
      <c r="H182" t="s">
        <v>330</v>
      </c>
      <c r="J182" t="s">
        <v>395</v>
      </c>
      <c r="K182">
        <v>9.8000000000000007</v>
      </c>
      <c r="L182" t="s">
        <v>396</v>
      </c>
      <c r="N182" t="s">
        <v>317</v>
      </c>
      <c r="O182">
        <v>1.07</v>
      </c>
      <c r="P182" t="s">
        <v>318</v>
      </c>
      <c r="R182" t="s">
        <v>347</v>
      </c>
      <c r="S182">
        <v>1.07</v>
      </c>
      <c r="T182" t="s">
        <v>348</v>
      </c>
      <c r="V182" t="s">
        <v>321</v>
      </c>
      <c r="W182">
        <v>34.6</v>
      </c>
      <c r="X182" t="s">
        <v>322</v>
      </c>
      <c r="Z182" t="s">
        <v>385</v>
      </c>
      <c r="AA182">
        <v>20.7</v>
      </c>
      <c r="AB182" t="s">
        <v>386</v>
      </c>
      <c r="AD182" t="s">
        <v>387</v>
      </c>
      <c r="AE182">
        <v>70.3</v>
      </c>
      <c r="AF182" t="s">
        <v>388</v>
      </c>
      <c r="AH182" t="s">
        <v>473</v>
      </c>
      <c r="AI182">
        <v>176.06</v>
      </c>
      <c r="AJ182">
        <v>166.08</v>
      </c>
      <c r="AK182">
        <v>5.78</v>
      </c>
      <c r="AL182">
        <v>5.45</v>
      </c>
      <c r="AN182" t="s">
        <v>375</v>
      </c>
      <c r="AO182">
        <v>10130</v>
      </c>
      <c r="AP182" t="s">
        <v>376</v>
      </c>
    </row>
    <row r="183" spans="2:42" x14ac:dyDescent="0.2">
      <c r="B183" t="s">
        <v>359</v>
      </c>
      <c r="C183">
        <v>5.2</v>
      </c>
      <c r="D183" t="s">
        <v>360</v>
      </c>
      <c r="F183" t="s">
        <v>331</v>
      </c>
      <c r="G183">
        <v>67.400000000000006</v>
      </c>
      <c r="H183" t="s">
        <v>332</v>
      </c>
      <c r="J183" t="s">
        <v>397</v>
      </c>
      <c r="K183">
        <v>11.3</v>
      </c>
      <c r="L183" t="s">
        <v>398</v>
      </c>
      <c r="N183" t="s">
        <v>319</v>
      </c>
      <c r="O183">
        <v>0.95</v>
      </c>
      <c r="P183" t="s">
        <v>320</v>
      </c>
      <c r="R183" t="s">
        <v>349</v>
      </c>
      <c r="S183">
        <v>1.97</v>
      </c>
      <c r="T183" t="s">
        <v>350</v>
      </c>
      <c r="V183" t="s">
        <v>323</v>
      </c>
      <c r="W183">
        <v>41</v>
      </c>
      <c r="X183" t="s">
        <v>324</v>
      </c>
      <c r="Z183" t="s">
        <v>387</v>
      </c>
      <c r="AA183">
        <v>32.6</v>
      </c>
      <c r="AB183" t="s">
        <v>388</v>
      </c>
      <c r="AD183" t="s">
        <v>389</v>
      </c>
      <c r="AE183">
        <v>72.099999999999994</v>
      </c>
      <c r="AF183" t="s">
        <v>390</v>
      </c>
      <c r="AH183" t="s">
        <v>363</v>
      </c>
      <c r="AI183">
        <v>175.11</v>
      </c>
      <c r="AJ183">
        <v>166.08</v>
      </c>
      <c r="AK183">
        <v>5.75</v>
      </c>
      <c r="AL183">
        <v>5.45</v>
      </c>
      <c r="AN183" t="s">
        <v>377</v>
      </c>
      <c r="AO183">
        <v>70441</v>
      </c>
      <c r="AP183" t="s">
        <v>378</v>
      </c>
    </row>
    <row r="184" spans="2:42" x14ac:dyDescent="0.2">
      <c r="B184" t="s">
        <v>361</v>
      </c>
      <c r="C184">
        <v>4.3</v>
      </c>
      <c r="D184" t="s">
        <v>362</v>
      </c>
      <c r="F184" t="s">
        <v>333</v>
      </c>
      <c r="G184">
        <v>81.400000000000006</v>
      </c>
      <c r="H184" t="s">
        <v>334</v>
      </c>
      <c r="J184" t="s">
        <v>399</v>
      </c>
      <c r="K184">
        <v>19.100000000000001</v>
      </c>
      <c r="L184" t="s">
        <v>400</v>
      </c>
      <c r="N184" t="s">
        <v>321</v>
      </c>
      <c r="O184">
        <v>0.96</v>
      </c>
      <c r="P184" t="s">
        <v>322</v>
      </c>
      <c r="R184" t="s">
        <v>351</v>
      </c>
      <c r="S184">
        <v>2.4500000000000002</v>
      </c>
      <c r="T184" t="s">
        <v>352</v>
      </c>
      <c r="V184" t="s">
        <v>432</v>
      </c>
      <c r="W184">
        <v>40.5</v>
      </c>
      <c r="X184" t="s">
        <v>433</v>
      </c>
      <c r="Z184" t="s">
        <v>389</v>
      </c>
      <c r="AA184">
        <v>56.6</v>
      </c>
      <c r="AB184" t="s">
        <v>390</v>
      </c>
      <c r="AD184" t="s">
        <v>391</v>
      </c>
      <c r="AE184">
        <v>75.3</v>
      </c>
      <c r="AF184" t="s">
        <v>392</v>
      </c>
      <c r="AH184" t="s">
        <v>365</v>
      </c>
      <c r="AI184">
        <v>176.03</v>
      </c>
      <c r="AJ184">
        <v>163.38</v>
      </c>
      <c r="AK184">
        <v>5.78</v>
      </c>
      <c r="AL184">
        <v>5.36</v>
      </c>
      <c r="AN184" t="s">
        <v>379</v>
      </c>
      <c r="AO184">
        <v>48169</v>
      </c>
      <c r="AP184" t="s">
        <v>380</v>
      </c>
    </row>
    <row r="185" spans="2:42" x14ac:dyDescent="0.2">
      <c r="B185" t="s">
        <v>363</v>
      </c>
      <c r="C185">
        <v>3.6</v>
      </c>
      <c r="D185" t="s">
        <v>364</v>
      </c>
      <c r="F185" t="s">
        <v>335</v>
      </c>
      <c r="G185">
        <v>20.2</v>
      </c>
      <c r="H185" t="s">
        <v>336</v>
      </c>
      <c r="N185" t="s">
        <v>323</v>
      </c>
      <c r="O185">
        <v>0.98</v>
      </c>
      <c r="P185" t="s">
        <v>324</v>
      </c>
      <c r="R185" t="s">
        <v>353</v>
      </c>
      <c r="S185">
        <v>3.04</v>
      </c>
      <c r="T185" t="s">
        <v>354</v>
      </c>
      <c r="V185" t="s">
        <v>325</v>
      </c>
      <c r="W185">
        <v>44.5</v>
      </c>
      <c r="X185" t="s">
        <v>326</v>
      </c>
      <c r="Z185" t="s">
        <v>391</v>
      </c>
      <c r="AA185">
        <v>28.6</v>
      </c>
      <c r="AB185" t="s">
        <v>392</v>
      </c>
      <c r="AD185" t="s">
        <v>395</v>
      </c>
      <c r="AE185">
        <v>66.099999999999994</v>
      </c>
      <c r="AF185" t="s">
        <v>396</v>
      </c>
      <c r="AH185" t="s">
        <v>367</v>
      </c>
      <c r="AI185">
        <v>176.85</v>
      </c>
      <c r="AJ185">
        <v>161.69</v>
      </c>
      <c r="AK185">
        <v>5.8</v>
      </c>
      <c r="AL185">
        <v>5.3</v>
      </c>
      <c r="AN185" t="s">
        <v>381</v>
      </c>
      <c r="AO185">
        <v>67426</v>
      </c>
      <c r="AP185" t="s">
        <v>382</v>
      </c>
    </row>
    <row r="186" spans="2:42" x14ac:dyDescent="0.2">
      <c r="B186" t="s">
        <v>365</v>
      </c>
      <c r="C186">
        <v>1.7</v>
      </c>
      <c r="D186" t="s">
        <v>366</v>
      </c>
      <c r="F186" t="s">
        <v>337</v>
      </c>
      <c r="G186">
        <v>80.8</v>
      </c>
      <c r="H186" t="s">
        <v>338</v>
      </c>
      <c r="N186" t="s">
        <v>432</v>
      </c>
      <c r="O186">
        <v>0.94</v>
      </c>
      <c r="P186" t="s">
        <v>433</v>
      </c>
      <c r="R186" t="s">
        <v>355</v>
      </c>
      <c r="S186">
        <v>0.31</v>
      </c>
      <c r="T186" t="s">
        <v>356</v>
      </c>
      <c r="V186" t="s">
        <v>327</v>
      </c>
      <c r="W186">
        <v>22.5</v>
      </c>
      <c r="X186" t="s">
        <v>328</v>
      </c>
      <c r="Z186" t="s">
        <v>393</v>
      </c>
      <c r="AA186">
        <v>6.6</v>
      </c>
      <c r="AB186" t="s">
        <v>394</v>
      </c>
      <c r="AD186" t="s">
        <v>397</v>
      </c>
      <c r="AE186">
        <v>63.5</v>
      </c>
      <c r="AF186" t="s">
        <v>398</v>
      </c>
      <c r="AH186" t="s">
        <v>369</v>
      </c>
      <c r="AI186">
        <v>176.36</v>
      </c>
      <c r="AJ186">
        <v>161.80000000000001</v>
      </c>
      <c r="AK186">
        <v>5.79</v>
      </c>
      <c r="AL186">
        <v>5.31</v>
      </c>
      <c r="AN186" t="s">
        <v>383</v>
      </c>
      <c r="AO186">
        <v>24516</v>
      </c>
      <c r="AP186" t="s">
        <v>384</v>
      </c>
    </row>
    <row r="187" spans="2:42" x14ac:dyDescent="0.2">
      <c r="B187" t="s">
        <v>367</v>
      </c>
      <c r="C187">
        <v>2.2000000000000002</v>
      </c>
      <c r="D187" t="s">
        <v>368</v>
      </c>
      <c r="F187" t="s">
        <v>339</v>
      </c>
      <c r="G187">
        <v>18.7</v>
      </c>
      <c r="H187" t="s">
        <v>340</v>
      </c>
      <c r="N187" t="s">
        <v>325</v>
      </c>
      <c r="O187">
        <v>1</v>
      </c>
      <c r="P187" t="s">
        <v>326</v>
      </c>
      <c r="R187" t="s">
        <v>357</v>
      </c>
      <c r="S187">
        <v>1.52</v>
      </c>
      <c r="T187" t="s">
        <v>358</v>
      </c>
      <c r="V187" t="s">
        <v>329</v>
      </c>
      <c r="W187">
        <v>18.100000000000001</v>
      </c>
      <c r="X187" t="s">
        <v>330</v>
      </c>
      <c r="Z187" t="s">
        <v>395</v>
      </c>
      <c r="AA187">
        <v>14.7</v>
      </c>
      <c r="AB187" t="s">
        <v>396</v>
      </c>
      <c r="AD187" t="s">
        <v>399</v>
      </c>
      <c r="AE187">
        <v>61.2</v>
      </c>
      <c r="AF187" t="s">
        <v>400</v>
      </c>
      <c r="AH187" t="s">
        <v>371</v>
      </c>
      <c r="AI187">
        <v>174.37</v>
      </c>
      <c r="AJ187">
        <v>162.83000000000001</v>
      </c>
      <c r="AK187">
        <v>5.72</v>
      </c>
      <c r="AL187">
        <v>5.34</v>
      </c>
      <c r="AN187" t="s">
        <v>385</v>
      </c>
      <c r="AO187">
        <v>9595</v>
      </c>
      <c r="AP187" t="s">
        <v>386</v>
      </c>
    </row>
    <row r="188" spans="2:42" x14ac:dyDescent="0.2">
      <c r="B188" t="s">
        <v>369</v>
      </c>
      <c r="C188">
        <v>2.1</v>
      </c>
      <c r="D188" t="s">
        <v>370</v>
      </c>
      <c r="F188" t="s">
        <v>341</v>
      </c>
      <c r="G188">
        <v>35.299999999999997</v>
      </c>
      <c r="H188" t="s">
        <v>342</v>
      </c>
      <c r="N188" t="s">
        <v>327</v>
      </c>
      <c r="O188">
        <v>1.04</v>
      </c>
      <c r="P188" t="s">
        <v>328</v>
      </c>
      <c r="R188" t="s">
        <v>359</v>
      </c>
      <c r="S188">
        <v>3.19</v>
      </c>
      <c r="T188" t="s">
        <v>360</v>
      </c>
      <c r="V188" t="s">
        <v>331</v>
      </c>
      <c r="W188">
        <v>27.1</v>
      </c>
      <c r="X188" t="s">
        <v>332</v>
      </c>
      <c r="Z188" t="s">
        <v>397</v>
      </c>
      <c r="AA188">
        <v>11.9</v>
      </c>
      <c r="AB188" t="s">
        <v>398</v>
      </c>
      <c r="AH188" t="s">
        <v>430</v>
      </c>
      <c r="AI188">
        <v>171.3</v>
      </c>
      <c r="AJ188">
        <v>163.57</v>
      </c>
      <c r="AK188">
        <v>5.62</v>
      </c>
      <c r="AL188">
        <v>5.37</v>
      </c>
      <c r="AN188" t="s">
        <v>387</v>
      </c>
      <c r="AO188">
        <v>3039</v>
      </c>
      <c r="AP188" t="s">
        <v>388</v>
      </c>
    </row>
    <row r="189" spans="2:42" x14ac:dyDescent="0.2">
      <c r="B189" t="s">
        <v>371</v>
      </c>
      <c r="C189">
        <v>2.8</v>
      </c>
      <c r="D189" t="s">
        <v>372</v>
      </c>
      <c r="F189" t="s">
        <v>343</v>
      </c>
      <c r="G189">
        <v>66.099999999999994</v>
      </c>
      <c r="H189" t="s">
        <v>344</v>
      </c>
      <c r="N189" t="s">
        <v>329</v>
      </c>
      <c r="O189">
        <v>1.02</v>
      </c>
      <c r="P189" t="s">
        <v>330</v>
      </c>
      <c r="R189" t="s">
        <v>361</v>
      </c>
      <c r="S189">
        <v>2.6</v>
      </c>
      <c r="T189" t="s">
        <v>362</v>
      </c>
      <c r="V189" t="s">
        <v>335</v>
      </c>
      <c r="W189">
        <v>17.3</v>
      </c>
      <c r="X189" t="s">
        <v>336</v>
      </c>
      <c r="Z189" t="s">
        <v>399</v>
      </c>
      <c r="AA189">
        <v>15.2</v>
      </c>
      <c r="AB189" t="s">
        <v>400</v>
      </c>
      <c r="AH189" t="s">
        <v>373</v>
      </c>
      <c r="AI189">
        <v>168.74</v>
      </c>
      <c r="AJ189">
        <v>158.53</v>
      </c>
      <c r="AK189">
        <v>5.54</v>
      </c>
      <c r="AL189">
        <v>5.2</v>
      </c>
      <c r="AN189" t="s">
        <v>389</v>
      </c>
      <c r="AO189">
        <v>16055</v>
      </c>
      <c r="AP189" t="s">
        <v>390</v>
      </c>
    </row>
    <row r="190" spans="2:42" x14ac:dyDescent="0.2">
      <c r="B190" t="s">
        <v>373</v>
      </c>
      <c r="C190">
        <v>5</v>
      </c>
      <c r="D190" t="s">
        <v>374</v>
      </c>
      <c r="F190" t="s">
        <v>345</v>
      </c>
      <c r="G190">
        <v>88</v>
      </c>
      <c r="H190" t="s">
        <v>346</v>
      </c>
      <c r="N190" t="s">
        <v>331</v>
      </c>
      <c r="O190">
        <v>0.98</v>
      </c>
      <c r="P190" t="s">
        <v>332</v>
      </c>
      <c r="R190" t="s">
        <v>363</v>
      </c>
      <c r="S190">
        <v>0.37</v>
      </c>
      <c r="T190" t="s">
        <v>364</v>
      </c>
      <c r="V190" t="s">
        <v>337</v>
      </c>
      <c r="W190">
        <v>42.7</v>
      </c>
      <c r="X190" t="s">
        <v>338</v>
      </c>
      <c r="AH190" t="s">
        <v>375</v>
      </c>
      <c r="AI190">
        <v>180.98</v>
      </c>
      <c r="AJ190">
        <v>166.62</v>
      </c>
      <c r="AK190">
        <v>5.94</v>
      </c>
      <c r="AL190">
        <v>5.47</v>
      </c>
      <c r="AN190" t="s">
        <v>391</v>
      </c>
      <c r="AO190">
        <v>8677</v>
      </c>
      <c r="AP190" t="s">
        <v>392</v>
      </c>
    </row>
    <row r="191" spans="2:42" x14ac:dyDescent="0.2">
      <c r="B191" t="s">
        <v>375</v>
      </c>
      <c r="C191">
        <v>1.3</v>
      </c>
      <c r="D191" t="s">
        <v>376</v>
      </c>
      <c r="F191" t="s">
        <v>347</v>
      </c>
      <c r="G191">
        <v>73.900000000000006</v>
      </c>
      <c r="H191" t="s">
        <v>348</v>
      </c>
      <c r="N191" t="s">
        <v>335</v>
      </c>
      <c r="O191">
        <v>1.06</v>
      </c>
      <c r="P191" t="s">
        <v>336</v>
      </c>
      <c r="R191" t="s">
        <v>365</v>
      </c>
      <c r="S191">
        <v>0.33</v>
      </c>
      <c r="T191" t="s">
        <v>366</v>
      </c>
      <c r="V191" t="s">
        <v>339</v>
      </c>
      <c r="W191">
        <v>32.799999999999997</v>
      </c>
      <c r="X191" t="s">
        <v>340</v>
      </c>
      <c r="AH191" t="s">
        <v>377</v>
      </c>
      <c r="AI191">
        <v>174.08</v>
      </c>
      <c r="AJ191">
        <v>160.53</v>
      </c>
      <c r="AK191">
        <v>5.71</v>
      </c>
      <c r="AL191">
        <v>5.27</v>
      </c>
      <c r="AN191" t="s">
        <v>395</v>
      </c>
      <c r="AO191">
        <v>2312</v>
      </c>
      <c r="AP191" t="s">
        <v>396</v>
      </c>
    </row>
    <row r="192" spans="2:42" x14ac:dyDescent="0.2">
      <c r="B192" t="s">
        <v>377</v>
      </c>
      <c r="C192">
        <v>1.4</v>
      </c>
      <c r="D192" t="s">
        <v>378</v>
      </c>
      <c r="F192" t="s">
        <v>349</v>
      </c>
      <c r="G192">
        <v>55.5</v>
      </c>
      <c r="H192" t="s">
        <v>350</v>
      </c>
      <c r="N192" t="s">
        <v>337</v>
      </c>
      <c r="O192">
        <v>0.98</v>
      </c>
      <c r="P192" t="s">
        <v>338</v>
      </c>
      <c r="R192" t="s">
        <v>367</v>
      </c>
      <c r="S192">
        <v>0.97</v>
      </c>
      <c r="T192" t="s">
        <v>368</v>
      </c>
      <c r="V192" t="s">
        <v>341</v>
      </c>
      <c r="W192">
        <v>19.899999999999999</v>
      </c>
      <c r="X192" t="s">
        <v>342</v>
      </c>
      <c r="AH192" t="s">
        <v>379</v>
      </c>
      <c r="AI192">
        <v>178.21</v>
      </c>
      <c r="AJ192">
        <v>163.94</v>
      </c>
      <c r="AK192">
        <v>5.85</v>
      </c>
      <c r="AL192">
        <v>5.38</v>
      </c>
      <c r="AN192" t="s">
        <v>397</v>
      </c>
      <c r="AO192">
        <v>4174</v>
      </c>
      <c r="AP192" t="s">
        <v>398</v>
      </c>
    </row>
    <row r="193" spans="2:42" x14ac:dyDescent="0.2">
      <c r="B193" t="s">
        <v>379</v>
      </c>
      <c r="C193">
        <v>1.7</v>
      </c>
      <c r="D193" t="s">
        <v>380</v>
      </c>
      <c r="F193" t="s">
        <v>424</v>
      </c>
      <c r="G193">
        <v>78.900000000000006</v>
      </c>
      <c r="H193" t="s">
        <v>425</v>
      </c>
      <c r="N193" t="s">
        <v>339</v>
      </c>
      <c r="O193">
        <v>0.95</v>
      </c>
      <c r="P193" t="s">
        <v>340</v>
      </c>
      <c r="R193" t="s">
        <v>369</v>
      </c>
      <c r="S193">
        <v>1.28</v>
      </c>
      <c r="T193" t="s">
        <v>370</v>
      </c>
      <c r="V193" t="s">
        <v>343</v>
      </c>
      <c r="W193">
        <v>29.8</v>
      </c>
      <c r="X193" t="s">
        <v>344</v>
      </c>
      <c r="AH193" t="s">
        <v>381</v>
      </c>
      <c r="AI193">
        <v>176.94</v>
      </c>
      <c r="AJ193">
        <v>163.31</v>
      </c>
      <c r="AK193">
        <v>5.81</v>
      </c>
      <c r="AL193">
        <v>5.36</v>
      </c>
      <c r="AN193" t="s">
        <v>399</v>
      </c>
      <c r="AO193">
        <v>2778</v>
      </c>
      <c r="AP193" t="s">
        <v>400</v>
      </c>
    </row>
    <row r="194" spans="2:42" x14ac:dyDescent="0.2">
      <c r="B194" t="s">
        <v>381</v>
      </c>
      <c r="C194">
        <v>1.7</v>
      </c>
      <c r="D194" t="s">
        <v>382</v>
      </c>
      <c r="F194" t="s">
        <v>351</v>
      </c>
      <c r="G194">
        <v>27.5</v>
      </c>
      <c r="H194" t="s">
        <v>352</v>
      </c>
      <c r="N194" t="s">
        <v>341</v>
      </c>
      <c r="O194">
        <v>1.01</v>
      </c>
      <c r="P194" t="s">
        <v>342</v>
      </c>
      <c r="R194" t="s">
        <v>371</v>
      </c>
      <c r="S194">
        <v>1.29</v>
      </c>
      <c r="T194" t="s">
        <v>372</v>
      </c>
      <c r="V194" t="s">
        <v>345</v>
      </c>
      <c r="W194">
        <v>41.2</v>
      </c>
      <c r="X194" t="s">
        <v>346</v>
      </c>
      <c r="AH194" t="s">
        <v>383</v>
      </c>
      <c r="AI194">
        <v>174.32</v>
      </c>
      <c r="AJ194">
        <v>161.56</v>
      </c>
      <c r="AK194">
        <v>5.72</v>
      </c>
      <c r="AL194">
        <v>5.3</v>
      </c>
    </row>
    <row r="195" spans="2:42" x14ac:dyDescent="0.2">
      <c r="B195" t="s">
        <v>383</v>
      </c>
      <c r="C195">
        <v>2</v>
      </c>
      <c r="D195" t="s">
        <v>384</v>
      </c>
      <c r="F195" t="s">
        <v>353</v>
      </c>
      <c r="G195">
        <v>35.200000000000003</v>
      </c>
      <c r="H195" t="s">
        <v>354</v>
      </c>
      <c r="N195" t="s">
        <v>343</v>
      </c>
      <c r="O195">
        <v>1.01</v>
      </c>
      <c r="P195" t="s">
        <v>344</v>
      </c>
      <c r="R195" t="s">
        <v>414</v>
      </c>
      <c r="S195">
        <v>2.19</v>
      </c>
      <c r="T195" t="s">
        <v>415</v>
      </c>
      <c r="V195" t="s">
        <v>347</v>
      </c>
      <c r="W195">
        <v>42.4</v>
      </c>
      <c r="X195" t="s">
        <v>348</v>
      </c>
      <c r="AH195" t="s">
        <v>385</v>
      </c>
      <c r="AI195">
        <v>170.94</v>
      </c>
      <c r="AJ195">
        <v>160.29</v>
      </c>
      <c r="AK195">
        <v>5.61</v>
      </c>
      <c r="AL195">
        <v>5.26</v>
      </c>
    </row>
    <row r="196" spans="2:42" x14ac:dyDescent="0.2">
      <c r="B196" t="s">
        <v>385</v>
      </c>
      <c r="C196">
        <v>2.4</v>
      </c>
      <c r="D196" t="s">
        <v>386</v>
      </c>
      <c r="F196" t="s">
        <v>355</v>
      </c>
      <c r="G196">
        <v>51.4</v>
      </c>
      <c r="H196" t="s">
        <v>356</v>
      </c>
      <c r="N196" t="s">
        <v>345</v>
      </c>
      <c r="O196">
        <v>1</v>
      </c>
      <c r="P196" t="s">
        <v>346</v>
      </c>
      <c r="R196" t="s">
        <v>430</v>
      </c>
      <c r="S196">
        <v>0.16</v>
      </c>
      <c r="T196" t="s">
        <v>431</v>
      </c>
      <c r="V196" t="s">
        <v>349</v>
      </c>
      <c r="W196">
        <v>24.3</v>
      </c>
      <c r="X196" t="s">
        <v>350</v>
      </c>
      <c r="AH196" t="s">
        <v>387</v>
      </c>
      <c r="AI196">
        <v>168.29</v>
      </c>
      <c r="AJ196">
        <v>160.47999999999999</v>
      </c>
      <c r="AK196">
        <v>5.52</v>
      </c>
      <c r="AL196">
        <v>5.27</v>
      </c>
    </row>
    <row r="197" spans="2:42" x14ac:dyDescent="0.2">
      <c r="B197" t="s">
        <v>387</v>
      </c>
      <c r="C197">
        <v>3.8</v>
      </c>
      <c r="D197" t="s">
        <v>388</v>
      </c>
      <c r="F197" t="s">
        <v>357</v>
      </c>
      <c r="G197">
        <v>83.2</v>
      </c>
      <c r="H197" t="s">
        <v>358</v>
      </c>
      <c r="N197" t="s">
        <v>347</v>
      </c>
      <c r="O197">
        <v>0.98</v>
      </c>
      <c r="P197" t="s">
        <v>348</v>
      </c>
      <c r="R197" t="s">
        <v>373</v>
      </c>
      <c r="S197">
        <v>3.35</v>
      </c>
      <c r="T197" t="s">
        <v>374</v>
      </c>
      <c r="V197" t="s">
        <v>424</v>
      </c>
      <c r="W197">
        <v>40.700000000000003</v>
      </c>
      <c r="X197" t="s">
        <v>425</v>
      </c>
      <c r="AH197" t="s">
        <v>389</v>
      </c>
      <c r="AI197">
        <v>173.53</v>
      </c>
      <c r="AJ197">
        <v>160.04</v>
      </c>
      <c r="AK197">
        <v>5.69</v>
      </c>
      <c r="AL197">
        <v>5.25</v>
      </c>
    </row>
    <row r="198" spans="2:42" x14ac:dyDescent="0.2">
      <c r="B198" t="s">
        <v>389</v>
      </c>
      <c r="C198">
        <v>2.2999999999999998</v>
      </c>
      <c r="D198" t="s">
        <v>390</v>
      </c>
      <c r="F198" t="s">
        <v>359</v>
      </c>
      <c r="G198">
        <v>62.6</v>
      </c>
      <c r="H198" t="s">
        <v>360</v>
      </c>
      <c r="N198" t="s">
        <v>349</v>
      </c>
      <c r="O198">
        <v>1</v>
      </c>
      <c r="P198" t="s">
        <v>350</v>
      </c>
      <c r="R198" t="s">
        <v>375</v>
      </c>
      <c r="S198">
        <v>-0.25</v>
      </c>
      <c r="T198" t="s">
        <v>376</v>
      </c>
      <c r="V198" t="s">
        <v>351</v>
      </c>
      <c r="W198">
        <v>24.5</v>
      </c>
      <c r="X198" t="s">
        <v>352</v>
      </c>
      <c r="AH198" t="s">
        <v>391</v>
      </c>
      <c r="AI198">
        <v>168.89</v>
      </c>
      <c r="AJ198">
        <v>158.43</v>
      </c>
      <c r="AK198">
        <v>5.54</v>
      </c>
      <c r="AL198">
        <v>5.2</v>
      </c>
    </row>
    <row r="199" spans="2:42" x14ac:dyDescent="0.2">
      <c r="B199" t="s">
        <v>391</v>
      </c>
      <c r="C199">
        <v>2</v>
      </c>
      <c r="D199" t="s">
        <v>392</v>
      </c>
      <c r="F199" t="s">
        <v>361</v>
      </c>
      <c r="G199">
        <v>42.8</v>
      </c>
      <c r="H199" t="s">
        <v>362</v>
      </c>
      <c r="N199" t="s">
        <v>424</v>
      </c>
      <c r="O199">
        <v>0.97</v>
      </c>
      <c r="P199" t="s">
        <v>425</v>
      </c>
      <c r="R199" t="s">
        <v>377</v>
      </c>
      <c r="S199">
        <v>3.1</v>
      </c>
      <c r="T199" t="s">
        <v>378</v>
      </c>
      <c r="V199" t="s">
        <v>353</v>
      </c>
      <c r="W199">
        <v>17.7</v>
      </c>
      <c r="X199" t="s">
        <v>354</v>
      </c>
      <c r="AH199" t="s">
        <v>395</v>
      </c>
      <c r="AI199">
        <v>164.42</v>
      </c>
      <c r="AJ199">
        <v>154.76</v>
      </c>
      <c r="AK199">
        <v>5.39</v>
      </c>
      <c r="AL199">
        <v>5.08</v>
      </c>
    </row>
    <row r="200" spans="2:42" x14ac:dyDescent="0.2">
      <c r="B200" t="s">
        <v>393</v>
      </c>
      <c r="C200">
        <v>2.1</v>
      </c>
      <c r="D200" t="s">
        <v>394</v>
      </c>
      <c r="F200" t="s">
        <v>363</v>
      </c>
      <c r="G200">
        <v>23.1</v>
      </c>
      <c r="H200" t="s">
        <v>364</v>
      </c>
      <c r="N200" t="s">
        <v>351</v>
      </c>
      <c r="O200">
        <v>0.99</v>
      </c>
      <c r="P200" t="s">
        <v>352</v>
      </c>
      <c r="R200" t="s">
        <v>379</v>
      </c>
      <c r="S200">
        <v>0.75</v>
      </c>
      <c r="T200" t="s">
        <v>380</v>
      </c>
      <c r="V200" t="s">
        <v>355</v>
      </c>
      <c r="W200">
        <v>37.700000000000003</v>
      </c>
      <c r="X200" t="s">
        <v>356</v>
      </c>
      <c r="AH200" t="s">
        <v>397</v>
      </c>
      <c r="AI200">
        <v>167.62</v>
      </c>
      <c r="AJ200">
        <v>157.32</v>
      </c>
      <c r="AK200">
        <v>5.5</v>
      </c>
      <c r="AL200">
        <v>5.16</v>
      </c>
    </row>
    <row r="201" spans="2:42" x14ac:dyDescent="0.2">
      <c r="B201" t="s">
        <v>395</v>
      </c>
      <c r="C201">
        <v>3.8</v>
      </c>
      <c r="D201" t="s">
        <v>396</v>
      </c>
      <c r="F201" t="s">
        <v>365</v>
      </c>
      <c r="G201">
        <v>53.2</v>
      </c>
      <c r="H201" t="s">
        <v>366</v>
      </c>
      <c r="N201" t="s">
        <v>353</v>
      </c>
      <c r="O201">
        <v>1</v>
      </c>
      <c r="P201" t="s">
        <v>354</v>
      </c>
      <c r="R201" t="s">
        <v>381</v>
      </c>
      <c r="S201">
        <v>0.74</v>
      </c>
      <c r="T201" t="s">
        <v>382</v>
      </c>
      <c r="V201" t="s">
        <v>103</v>
      </c>
      <c r="W201">
        <v>18.899999999999999</v>
      </c>
      <c r="X201" t="s">
        <v>104</v>
      </c>
      <c r="AH201" t="s">
        <v>399</v>
      </c>
      <c r="AI201">
        <v>170.69</v>
      </c>
      <c r="AJ201">
        <v>159.85</v>
      </c>
      <c r="AK201">
        <v>5.6</v>
      </c>
      <c r="AL201">
        <v>5.24</v>
      </c>
    </row>
    <row r="202" spans="2:42" x14ac:dyDescent="0.2">
      <c r="B202" t="s">
        <v>397</v>
      </c>
      <c r="C202">
        <v>4.5999999999999996</v>
      </c>
      <c r="D202" t="s">
        <v>398</v>
      </c>
      <c r="F202" t="s">
        <v>367</v>
      </c>
      <c r="G202">
        <v>69.599999999999994</v>
      </c>
      <c r="H202" t="s">
        <v>368</v>
      </c>
      <c r="N202" t="s">
        <v>355</v>
      </c>
      <c r="O202">
        <v>0.96</v>
      </c>
      <c r="P202" t="s">
        <v>356</v>
      </c>
      <c r="R202" t="s">
        <v>383</v>
      </c>
      <c r="S202">
        <v>0.35</v>
      </c>
      <c r="T202" t="s">
        <v>384</v>
      </c>
      <c r="V202" t="s">
        <v>361</v>
      </c>
      <c r="W202">
        <v>19.8</v>
      </c>
      <c r="X202" t="s">
        <v>362</v>
      </c>
    </row>
    <row r="203" spans="2:42" x14ac:dyDescent="0.2">
      <c r="B203" t="s">
        <v>399</v>
      </c>
      <c r="C203">
        <v>3.6</v>
      </c>
      <c r="D203" t="s">
        <v>400</v>
      </c>
      <c r="F203" t="s">
        <v>369</v>
      </c>
      <c r="G203">
        <v>76.099999999999994</v>
      </c>
      <c r="H203" t="s">
        <v>370</v>
      </c>
      <c r="N203" t="s">
        <v>103</v>
      </c>
      <c r="O203">
        <v>1</v>
      </c>
      <c r="P203" t="s">
        <v>104</v>
      </c>
      <c r="R203" t="s">
        <v>385</v>
      </c>
      <c r="S203">
        <v>1.47</v>
      </c>
      <c r="T203" t="s">
        <v>386</v>
      </c>
      <c r="V203" t="s">
        <v>363</v>
      </c>
      <c r="W203">
        <v>23</v>
      </c>
      <c r="X203" t="s">
        <v>364</v>
      </c>
    </row>
    <row r="204" spans="2:42" x14ac:dyDescent="0.2">
      <c r="F204" t="s">
        <v>371</v>
      </c>
      <c r="G204">
        <v>52.5</v>
      </c>
      <c r="H204" t="s">
        <v>372</v>
      </c>
      <c r="N204" t="s">
        <v>361</v>
      </c>
      <c r="O204">
        <v>0.98</v>
      </c>
      <c r="P204" t="s">
        <v>362</v>
      </c>
      <c r="R204" t="s">
        <v>387</v>
      </c>
      <c r="S204">
        <v>2.2400000000000002</v>
      </c>
      <c r="T204" t="s">
        <v>388</v>
      </c>
      <c r="V204" t="s">
        <v>365</v>
      </c>
      <c r="W204">
        <v>36</v>
      </c>
      <c r="X204" t="s">
        <v>366</v>
      </c>
    </row>
    <row r="205" spans="2:42" x14ac:dyDescent="0.2">
      <c r="F205" t="s">
        <v>414</v>
      </c>
      <c r="G205">
        <v>93.6</v>
      </c>
      <c r="H205" t="s">
        <v>415</v>
      </c>
      <c r="N205" t="s">
        <v>363</v>
      </c>
      <c r="O205">
        <v>1.01</v>
      </c>
      <c r="P205" t="s">
        <v>364</v>
      </c>
      <c r="R205" t="s">
        <v>389</v>
      </c>
      <c r="S205">
        <v>1.53</v>
      </c>
      <c r="T205" t="s">
        <v>390</v>
      </c>
      <c r="V205" t="s">
        <v>367</v>
      </c>
      <c r="W205">
        <v>31.6</v>
      </c>
      <c r="X205" t="s">
        <v>368</v>
      </c>
    </row>
    <row r="206" spans="2:42" x14ac:dyDescent="0.2">
      <c r="F206" t="s">
        <v>430</v>
      </c>
      <c r="G206">
        <v>64</v>
      </c>
      <c r="H206" t="s">
        <v>431</v>
      </c>
      <c r="N206" t="s">
        <v>365</v>
      </c>
      <c r="O206">
        <v>1.03</v>
      </c>
      <c r="P206" t="s">
        <v>366</v>
      </c>
      <c r="R206" t="s">
        <v>391</v>
      </c>
      <c r="S206">
        <v>1.06</v>
      </c>
      <c r="T206" t="s">
        <v>392</v>
      </c>
      <c r="V206" t="s">
        <v>369</v>
      </c>
      <c r="W206">
        <v>30.9</v>
      </c>
      <c r="X206" t="s">
        <v>370</v>
      </c>
    </row>
    <row r="207" spans="2:42" x14ac:dyDescent="0.2">
      <c r="F207" t="s">
        <v>373</v>
      </c>
      <c r="G207">
        <v>25</v>
      </c>
      <c r="H207" t="s">
        <v>374</v>
      </c>
      <c r="N207" t="s">
        <v>367</v>
      </c>
      <c r="O207">
        <v>0.99</v>
      </c>
      <c r="P207" t="s">
        <v>368</v>
      </c>
      <c r="R207" t="s">
        <v>395</v>
      </c>
      <c r="S207">
        <v>2.33</v>
      </c>
      <c r="T207" t="s">
        <v>396</v>
      </c>
      <c r="V207" t="s">
        <v>371</v>
      </c>
      <c r="W207">
        <v>27.9</v>
      </c>
      <c r="X207" t="s">
        <v>372</v>
      </c>
    </row>
    <row r="208" spans="2:42" x14ac:dyDescent="0.2">
      <c r="F208" t="s">
        <v>375</v>
      </c>
      <c r="G208">
        <v>69.599999999999994</v>
      </c>
      <c r="H208" t="s">
        <v>376</v>
      </c>
      <c r="N208" t="s">
        <v>369</v>
      </c>
      <c r="O208">
        <v>1.01</v>
      </c>
      <c r="P208" t="s">
        <v>370</v>
      </c>
      <c r="R208" t="s">
        <v>397</v>
      </c>
      <c r="S208">
        <v>3.19</v>
      </c>
      <c r="T208" t="s">
        <v>398</v>
      </c>
      <c r="V208" t="s">
        <v>414</v>
      </c>
      <c r="W208">
        <v>33.299999999999997</v>
      </c>
      <c r="X208" t="s">
        <v>415</v>
      </c>
    </row>
    <row r="209" spans="6:24" x14ac:dyDescent="0.2">
      <c r="F209" t="s">
        <v>377</v>
      </c>
      <c r="G209">
        <v>87</v>
      </c>
      <c r="H209" t="s">
        <v>378</v>
      </c>
      <c r="N209" t="s">
        <v>371</v>
      </c>
      <c r="O209">
        <v>0.98</v>
      </c>
      <c r="P209" t="s">
        <v>372</v>
      </c>
      <c r="R209" t="s">
        <v>399</v>
      </c>
      <c r="S209">
        <v>2.7</v>
      </c>
      <c r="T209" t="s">
        <v>400</v>
      </c>
      <c r="V209" t="s">
        <v>430</v>
      </c>
      <c r="W209">
        <v>25.7</v>
      </c>
      <c r="X209" t="s">
        <v>431</v>
      </c>
    </row>
    <row r="210" spans="6:24" x14ac:dyDescent="0.2">
      <c r="F210" t="s">
        <v>379</v>
      </c>
      <c r="G210">
        <v>83.9</v>
      </c>
      <c r="H210" t="s">
        <v>380</v>
      </c>
      <c r="N210" t="s">
        <v>414</v>
      </c>
      <c r="O210">
        <v>1.01</v>
      </c>
      <c r="P210" t="s">
        <v>415</v>
      </c>
      <c r="V210" t="s">
        <v>373</v>
      </c>
      <c r="W210">
        <v>15.8</v>
      </c>
      <c r="X210" t="s">
        <v>374</v>
      </c>
    </row>
    <row r="211" spans="6:24" x14ac:dyDescent="0.2">
      <c r="F211" t="s">
        <v>381</v>
      </c>
      <c r="G211">
        <v>82.7</v>
      </c>
      <c r="H211" t="s">
        <v>382</v>
      </c>
      <c r="N211" t="s">
        <v>430</v>
      </c>
      <c r="O211">
        <v>0.98</v>
      </c>
      <c r="P211" t="s">
        <v>431</v>
      </c>
      <c r="V211" t="s">
        <v>375</v>
      </c>
      <c r="W211">
        <v>40.6</v>
      </c>
      <c r="X211" t="s">
        <v>376</v>
      </c>
    </row>
    <row r="212" spans="6:24" x14ac:dyDescent="0.2">
      <c r="F212" t="s">
        <v>383</v>
      </c>
      <c r="G212">
        <v>95.5</v>
      </c>
      <c r="H212" t="s">
        <v>384</v>
      </c>
      <c r="N212" t="s">
        <v>373</v>
      </c>
      <c r="O212">
        <v>0.94</v>
      </c>
      <c r="P212" t="s">
        <v>374</v>
      </c>
      <c r="V212" t="s">
        <v>377</v>
      </c>
      <c r="W212">
        <v>30.3</v>
      </c>
      <c r="X212" t="s">
        <v>378</v>
      </c>
    </row>
    <row r="213" spans="6:24" x14ac:dyDescent="0.2">
      <c r="F213" t="s">
        <v>385</v>
      </c>
      <c r="G213">
        <v>50.4</v>
      </c>
      <c r="H213" t="s">
        <v>386</v>
      </c>
      <c r="N213" t="s">
        <v>375</v>
      </c>
      <c r="O213">
        <v>0.86</v>
      </c>
      <c r="P213" t="s">
        <v>376</v>
      </c>
      <c r="V213" t="s">
        <v>379</v>
      </c>
      <c r="W213">
        <v>40.5</v>
      </c>
      <c r="X213" t="s">
        <v>380</v>
      </c>
    </row>
    <row r="214" spans="6:24" x14ac:dyDescent="0.2">
      <c r="F214" t="s">
        <v>387</v>
      </c>
      <c r="G214">
        <v>25.5</v>
      </c>
      <c r="H214" t="s">
        <v>388</v>
      </c>
      <c r="N214" t="s">
        <v>377</v>
      </c>
      <c r="O214">
        <v>2.56</v>
      </c>
      <c r="P214" t="s">
        <v>378</v>
      </c>
      <c r="V214" t="s">
        <v>381</v>
      </c>
      <c r="W214">
        <v>38.1</v>
      </c>
      <c r="X214" t="s">
        <v>382</v>
      </c>
    </row>
    <row r="215" spans="6:24" x14ac:dyDescent="0.2">
      <c r="F215" t="s">
        <v>389</v>
      </c>
      <c r="G215">
        <v>88.3</v>
      </c>
      <c r="H215" t="s">
        <v>390</v>
      </c>
      <c r="N215" t="s">
        <v>379</v>
      </c>
      <c r="O215">
        <v>0.99</v>
      </c>
      <c r="P215" t="s">
        <v>380</v>
      </c>
      <c r="V215" t="s">
        <v>383</v>
      </c>
      <c r="W215">
        <v>35</v>
      </c>
      <c r="X215" t="s">
        <v>384</v>
      </c>
    </row>
    <row r="216" spans="6:24" x14ac:dyDescent="0.2">
      <c r="F216" t="s">
        <v>391</v>
      </c>
      <c r="G216">
        <v>37.299999999999997</v>
      </c>
      <c r="H216" t="s">
        <v>392</v>
      </c>
      <c r="N216" t="s">
        <v>381</v>
      </c>
      <c r="O216">
        <v>0.97</v>
      </c>
      <c r="P216" t="s">
        <v>382</v>
      </c>
      <c r="V216" t="s">
        <v>385</v>
      </c>
      <c r="W216">
        <v>28.6</v>
      </c>
      <c r="X216" t="s">
        <v>386</v>
      </c>
    </row>
    <row r="217" spans="6:24" x14ac:dyDescent="0.2">
      <c r="F217" t="s">
        <v>422</v>
      </c>
      <c r="G217">
        <v>86.8</v>
      </c>
      <c r="H217" t="s">
        <v>423</v>
      </c>
      <c r="N217" t="s">
        <v>383</v>
      </c>
      <c r="O217">
        <v>0.94</v>
      </c>
      <c r="P217" t="s">
        <v>384</v>
      </c>
      <c r="V217" t="s">
        <v>387</v>
      </c>
      <c r="W217">
        <v>22</v>
      </c>
      <c r="X217" t="s">
        <v>388</v>
      </c>
    </row>
    <row r="218" spans="6:24" x14ac:dyDescent="0.2">
      <c r="F218" t="s">
        <v>395</v>
      </c>
      <c r="G218">
        <v>36.6</v>
      </c>
      <c r="H218" t="s">
        <v>396</v>
      </c>
      <c r="N218" t="s">
        <v>385</v>
      </c>
      <c r="O218">
        <v>0.99</v>
      </c>
      <c r="P218" t="s">
        <v>386</v>
      </c>
      <c r="V218" t="s">
        <v>389</v>
      </c>
      <c r="W218">
        <v>28.3</v>
      </c>
      <c r="X218" t="s">
        <v>390</v>
      </c>
    </row>
    <row r="219" spans="6:24" x14ac:dyDescent="0.2">
      <c r="F219" t="s">
        <v>397</v>
      </c>
      <c r="G219">
        <v>44.6</v>
      </c>
      <c r="H219" t="s">
        <v>398</v>
      </c>
      <c r="N219" t="s">
        <v>387</v>
      </c>
      <c r="O219">
        <v>0.99</v>
      </c>
      <c r="P219" t="s">
        <v>388</v>
      </c>
      <c r="V219" t="s">
        <v>391</v>
      </c>
      <c r="W219">
        <v>30.5</v>
      </c>
      <c r="X219" t="s">
        <v>392</v>
      </c>
    </row>
    <row r="220" spans="6:24" x14ac:dyDescent="0.2">
      <c r="F220" t="s">
        <v>399</v>
      </c>
      <c r="G220">
        <v>32.200000000000003</v>
      </c>
      <c r="H220" t="s">
        <v>400</v>
      </c>
      <c r="N220" t="s">
        <v>389</v>
      </c>
      <c r="O220">
        <v>0.99</v>
      </c>
      <c r="P220" t="s">
        <v>390</v>
      </c>
      <c r="V220" t="s">
        <v>393</v>
      </c>
      <c r="W220">
        <v>41</v>
      </c>
      <c r="X220" t="s">
        <v>394</v>
      </c>
    </row>
    <row r="221" spans="6:24" x14ac:dyDescent="0.2">
      <c r="N221" t="s">
        <v>391</v>
      </c>
      <c r="O221">
        <v>1.01</v>
      </c>
      <c r="P221" t="s">
        <v>392</v>
      </c>
      <c r="V221" t="s">
        <v>455</v>
      </c>
      <c r="W221">
        <v>32.200000000000003</v>
      </c>
      <c r="X221" t="s">
        <v>456</v>
      </c>
    </row>
    <row r="222" spans="6:24" x14ac:dyDescent="0.2">
      <c r="N222" t="s">
        <v>393</v>
      </c>
      <c r="O222">
        <v>0.91</v>
      </c>
      <c r="P222" t="s">
        <v>394</v>
      </c>
      <c r="V222" t="s">
        <v>422</v>
      </c>
      <c r="W222">
        <v>21.1</v>
      </c>
      <c r="X222" t="s">
        <v>423</v>
      </c>
    </row>
    <row r="223" spans="6:24" x14ac:dyDescent="0.2">
      <c r="N223" t="s">
        <v>393</v>
      </c>
      <c r="O223">
        <v>0.91</v>
      </c>
      <c r="P223" t="s">
        <v>394</v>
      </c>
      <c r="V223" t="s">
        <v>395</v>
      </c>
      <c r="W223">
        <v>19.5</v>
      </c>
      <c r="X223" t="s">
        <v>396</v>
      </c>
    </row>
    <row r="224" spans="6:24" x14ac:dyDescent="0.2">
      <c r="N224" t="s">
        <v>455</v>
      </c>
      <c r="O224">
        <v>1.04</v>
      </c>
      <c r="P224" t="s">
        <v>456</v>
      </c>
      <c r="V224" t="s">
        <v>397</v>
      </c>
      <c r="W224">
        <v>16.8</v>
      </c>
      <c r="X224" t="s">
        <v>398</v>
      </c>
    </row>
    <row r="225" spans="14:24" x14ac:dyDescent="0.2">
      <c r="N225" t="s">
        <v>422</v>
      </c>
      <c r="O225">
        <v>0.99</v>
      </c>
      <c r="P225" t="s">
        <v>423</v>
      </c>
      <c r="V225" t="s">
        <v>399</v>
      </c>
      <c r="W225">
        <v>20</v>
      </c>
      <c r="X225" t="s">
        <v>400</v>
      </c>
    </row>
    <row r="226" spans="14:24" x14ac:dyDescent="0.2">
      <c r="N226" t="s">
        <v>395</v>
      </c>
      <c r="O226">
        <v>1.02</v>
      </c>
      <c r="P226" t="s">
        <v>396</v>
      </c>
    </row>
    <row r="227" spans="14:24" x14ac:dyDescent="0.2">
      <c r="N227" t="s">
        <v>397</v>
      </c>
      <c r="O227">
        <v>1</v>
      </c>
      <c r="P227" t="s">
        <v>398</v>
      </c>
    </row>
    <row r="228" spans="14:24" x14ac:dyDescent="0.2">
      <c r="N228" t="s">
        <v>399</v>
      </c>
      <c r="O228">
        <v>0.96</v>
      </c>
      <c r="P228" t="s">
        <v>400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C4AD-4DE3-254D-96A4-6E86F8D41024}">
  <dimension ref="B2:M159"/>
  <sheetViews>
    <sheetView tabSelected="1" zoomScale="120" zoomScaleNormal="120" workbookViewId="0">
      <selection activeCell="A73" sqref="A73"/>
    </sheetView>
  </sheetViews>
  <sheetFormatPr baseColWidth="10" defaultRowHeight="16" x14ac:dyDescent="0.2"/>
  <cols>
    <col min="2" max="2" width="39.1640625" bestFit="1" customWidth="1"/>
    <col min="3" max="3" width="9" customWidth="1"/>
    <col min="4" max="4" width="17.83203125" customWidth="1"/>
    <col min="5" max="5" width="12.5" customWidth="1"/>
    <col min="6" max="6" width="10.1640625" customWidth="1"/>
    <col min="7" max="7" width="18.33203125" customWidth="1"/>
    <col min="8" max="8" width="12.5" customWidth="1"/>
    <col min="9" max="9" width="18.6640625" customWidth="1"/>
    <col min="10" max="10" width="15.5" customWidth="1"/>
    <col min="11" max="11" width="17.6640625" customWidth="1"/>
    <col min="12" max="12" width="19.33203125" customWidth="1"/>
    <col min="13" max="13" width="15" customWidth="1"/>
  </cols>
  <sheetData>
    <row r="2" spans="2:13" x14ac:dyDescent="0.2">
      <c r="B2" t="s">
        <v>0</v>
      </c>
      <c r="C2" t="s">
        <v>1</v>
      </c>
      <c r="D2" t="s">
        <v>480</v>
      </c>
      <c r="E2" t="s">
        <v>450</v>
      </c>
      <c r="F2" t="s">
        <v>451</v>
      </c>
      <c r="G2" t="s">
        <v>457</v>
      </c>
      <c r="H2" t="s">
        <v>458</v>
      </c>
      <c r="I2" t="s">
        <v>460</v>
      </c>
      <c r="J2" t="s">
        <v>468</v>
      </c>
      <c r="K2" t="s">
        <v>469</v>
      </c>
      <c r="L2" t="s">
        <v>470</v>
      </c>
      <c r="M2" t="s">
        <v>479</v>
      </c>
    </row>
    <row r="3" spans="2:13" x14ac:dyDescent="0.2">
      <c r="B3" t="s">
        <v>3</v>
      </c>
      <c r="C3">
        <f>VLOOKUP('master table'!B3,Table1[#All], 2,FALSE)</f>
        <v>4.5</v>
      </c>
      <c r="D3">
        <f>VLOOKUP('master table'!B3,Table2[#All], 2,FALSE)</f>
        <v>26</v>
      </c>
      <c r="E3">
        <f>VLOOKUP('master table'!B3,Table3[#All], 2,FALSE)</f>
        <v>6.4</v>
      </c>
      <c r="F3">
        <f>VLOOKUP('master table'!B3,Table4[#All], 2,FALSE)</f>
        <v>1.03</v>
      </c>
      <c r="G3">
        <f>VLOOKUP('master table'!B3,Table5[#All], 2,FALSE)</f>
        <v>2.41</v>
      </c>
      <c r="H3">
        <f>VLOOKUP('master table'!B3,Table6[#All], 2,FALSE)</f>
        <v>27.4</v>
      </c>
      <c r="I3">
        <f>VLOOKUP('master table'!B3,Table7[#All], 2,FALSE)</f>
        <v>17.3</v>
      </c>
      <c r="J3">
        <f>VLOOKUP('master table'!B3,Table8[#All], 2,FALSE)</f>
        <v>64.5</v>
      </c>
      <c r="K3">
        <f>VLOOKUP('master table'!B3,Table9[#All], 2,FALSE)</f>
        <v>168.5</v>
      </c>
      <c r="L3">
        <f>VLOOKUP('master table'!B3,Table9[#All], 3,FALSE)</f>
        <v>156.11000000000001</v>
      </c>
      <c r="M3">
        <f>VLOOKUP('master table'!B3,Table10[#All], 2,FALSE)</f>
        <v>2182</v>
      </c>
    </row>
    <row r="4" spans="2:13" x14ac:dyDescent="0.2">
      <c r="B4" t="s">
        <v>7</v>
      </c>
      <c r="C4">
        <f>VLOOKUP('master table'!B4,Table1[#All], 2,FALSE)</f>
        <v>3</v>
      </c>
      <c r="D4">
        <f>VLOOKUP('master table'!B4,Table2[#All], 2,FALSE)</f>
        <v>73.7</v>
      </c>
      <c r="E4">
        <f>VLOOKUP('master table'!B4,Table3[#All], 2,FALSE)</f>
        <v>3.3</v>
      </c>
      <c r="F4">
        <f>VLOOKUP('master table'!B4,Table4[#All], 2,FALSE)</f>
        <v>1.03</v>
      </c>
      <c r="G4">
        <f>VLOOKUP('master table'!B4,Table5[#All], 2,FALSE)</f>
        <v>1.89</v>
      </c>
      <c r="H4">
        <f>VLOOKUP('master table'!B4,Table6[#All], 2,FALSE)</f>
        <v>28.1</v>
      </c>
      <c r="I4">
        <f>VLOOKUP('master table'!B4,Table7[#All], 2,FALSE)</f>
        <v>18.3</v>
      </c>
      <c r="J4">
        <f>VLOOKUP('master table'!B4,Table8[#All], 2,FALSE)</f>
        <v>76.7</v>
      </c>
      <c r="K4">
        <f>VLOOKUP('master table'!B4,Table9[#All], 2,FALSE)</f>
        <v>175.04</v>
      </c>
      <c r="L4">
        <f>VLOOKUP('master table'!B4,Table9[#All], 3,FALSE)</f>
        <v>162.35</v>
      </c>
      <c r="M4">
        <f>VLOOKUP('master table'!B4,Table10[#All], 2,FALSE)</f>
        <v>16091</v>
      </c>
    </row>
    <row r="5" spans="2:13" x14ac:dyDescent="0.2">
      <c r="B5" t="s">
        <v>11</v>
      </c>
      <c r="C5">
        <f>VLOOKUP('master table'!B5,Table1[#All], 2,FALSE)</f>
        <v>5.5</v>
      </c>
      <c r="D5">
        <f>VLOOKUP('master table'!B5,Table2[#All], 2,FALSE)</f>
        <v>66.8</v>
      </c>
      <c r="E5">
        <f>VLOOKUP('master table'!B5,Table3[#All], 2,FALSE)</f>
        <v>8.9</v>
      </c>
      <c r="F5">
        <f>VLOOKUP('master table'!B5,Table4[#All], 2,FALSE)</f>
        <v>0.95</v>
      </c>
      <c r="G5">
        <f>VLOOKUP('master table'!B5,Table5[#All], 2,FALSE)</f>
        <v>3.12</v>
      </c>
      <c r="H5">
        <f>VLOOKUP('master table'!B5,Table6[#All], 2,FALSE)</f>
        <v>15.9</v>
      </c>
      <c r="I5">
        <f>VLOOKUP('master table'!B5,Table7[#All], 2,FALSE)</f>
        <v>19</v>
      </c>
      <c r="J5">
        <f>VLOOKUP('master table'!B5,Table8[#All], 2,FALSE)</f>
        <v>60.8</v>
      </c>
      <c r="K5">
        <f>VLOOKUP('master table'!B5,Table9[#All], 2,FALSE)</f>
        <v>168.46</v>
      </c>
      <c r="L5">
        <f>VLOOKUP('master table'!B5,Table9[#All], 3,FALSE)</f>
        <v>158.1</v>
      </c>
      <c r="M5">
        <f>VLOOKUP('master table'!B5,Table10[#All], 2,FALSE)</f>
        <v>6763</v>
      </c>
    </row>
    <row r="6" spans="2:13" x14ac:dyDescent="0.2">
      <c r="B6" t="s">
        <v>13</v>
      </c>
      <c r="C6">
        <f>VLOOKUP('master table'!B6,Table1[#All], 2,FALSE)</f>
        <v>2</v>
      </c>
      <c r="D6">
        <f>VLOOKUP('master table'!B6,Table2[#All], 2,FALSE)</f>
        <v>24.4</v>
      </c>
      <c r="E6">
        <f>VLOOKUP('master table'!B6,Table3[#All], 2,FALSE)</f>
        <v>0.5</v>
      </c>
      <c r="F6">
        <f>VLOOKUP('master table'!B6,Table4[#All], 2,FALSE)</f>
        <v>0.89</v>
      </c>
      <c r="G6">
        <f>VLOOKUP('master table'!B6,Table5[#All], 2,FALSE)</f>
        <v>1.03</v>
      </c>
      <c r="H6">
        <f>VLOOKUP('master table'!B6,Table6[#All], 2,FALSE)</f>
        <v>31.9</v>
      </c>
      <c r="I6">
        <f>VLOOKUP('master table'!B6,Table7[#All], 2,FALSE)</f>
        <v>56</v>
      </c>
      <c r="J6">
        <f>VLOOKUP('master table'!B6,Table8[#All], 2,FALSE)</f>
        <v>76.900000000000006</v>
      </c>
      <c r="K6">
        <f>VLOOKUP('master table'!B6,Table9[#All], 2,FALSE)</f>
        <v>178.84</v>
      </c>
      <c r="L6">
        <f>VLOOKUP('master table'!B6,Table9[#All], 3,FALSE)</f>
        <v>165.72</v>
      </c>
      <c r="M6">
        <f>VLOOKUP('master table'!B6,Table10[#All], 2,FALSE)</f>
        <v>30593</v>
      </c>
    </row>
    <row r="7" spans="2:13" x14ac:dyDescent="0.2">
      <c r="B7" t="s">
        <v>15</v>
      </c>
      <c r="C7">
        <f>VLOOKUP('master table'!B7,Table1[#All], 2,FALSE)</f>
        <v>2.2999999999999998</v>
      </c>
      <c r="D7">
        <f>VLOOKUP('master table'!B7,Table2[#All], 2,FALSE)</f>
        <v>92.1</v>
      </c>
      <c r="E7">
        <f>VLOOKUP('master table'!B7,Table3[#All], 2,FALSE)</f>
        <v>9.1</v>
      </c>
      <c r="F7">
        <f>VLOOKUP('master table'!B7,Table4[#All], 2,FALSE)</f>
        <v>0.98</v>
      </c>
      <c r="G7">
        <f>VLOOKUP('master table'!B7,Table5[#All], 2,FALSE)</f>
        <v>0.88</v>
      </c>
      <c r="H7">
        <f>VLOOKUP('master table'!B7,Table6[#All], 2,FALSE)</f>
        <v>31.7</v>
      </c>
      <c r="I7">
        <f>VLOOKUP('master table'!B7,Table7[#All], 2,FALSE)</f>
        <v>79.7</v>
      </c>
      <c r="J7">
        <f>VLOOKUP('master table'!B7,Table8[#All], 2,FALSE)</f>
        <v>76.5</v>
      </c>
      <c r="K7">
        <f>VLOOKUP('master table'!B7,Table9[#All], 2,FALSE)</f>
        <v>174.76</v>
      </c>
      <c r="L7">
        <f>VLOOKUP('master table'!B7,Table9[#All], 3,FALSE)</f>
        <v>161.22</v>
      </c>
      <c r="M7">
        <f>VLOOKUP('master table'!B7,Table10[#All], 2,FALSE)</f>
        <v>19971</v>
      </c>
    </row>
    <row r="8" spans="2:13" x14ac:dyDescent="0.2">
      <c r="B8" t="s">
        <v>17</v>
      </c>
      <c r="C8">
        <f>VLOOKUP('master table'!B8,Table1[#All], 2,FALSE)</f>
        <v>1.8</v>
      </c>
      <c r="D8">
        <f>VLOOKUP('master table'!B8,Table2[#All], 2,FALSE)</f>
        <v>63.3</v>
      </c>
      <c r="E8">
        <f>VLOOKUP('master table'!B8,Table3[#All], 2,FALSE)</f>
        <v>5.7</v>
      </c>
      <c r="F8">
        <f>VLOOKUP('master table'!B8,Table4[#All], 2,FALSE)</f>
        <v>0.95</v>
      </c>
      <c r="G8">
        <f>VLOOKUP('master table'!B8,Table5[#All], 2,FALSE)</f>
        <v>0.17</v>
      </c>
      <c r="H8">
        <f>VLOOKUP('master table'!B8,Table6[#All], 2,FALSE)</f>
        <v>35.1</v>
      </c>
      <c r="I8">
        <f>VLOOKUP('master table'!B8,Table7[#All], 2,FALSE)</f>
        <v>27.7</v>
      </c>
      <c r="J8">
        <f>VLOOKUP('master table'!B8,Table8[#All], 2,FALSE)</f>
        <v>74.900000000000006</v>
      </c>
      <c r="K8">
        <f>VLOOKUP('master table'!B8,Table9[#All], 2,FALSE)</f>
        <v>173.67</v>
      </c>
      <c r="L8">
        <f>VLOOKUP('master table'!B8,Table9[#All], 3,FALSE)</f>
        <v>159.85</v>
      </c>
      <c r="M8">
        <f>VLOOKUP('master table'!B8,Table10[#All], 2,FALSE)</f>
        <v>11845</v>
      </c>
    </row>
    <row r="9" spans="2:13" x14ac:dyDescent="0.2">
      <c r="B9" t="s">
        <v>21</v>
      </c>
      <c r="C9">
        <f>VLOOKUP('master table'!B9,Table1[#All], 2,FALSE)</f>
        <v>1.7</v>
      </c>
      <c r="D9">
        <f>VLOOKUP('master table'!B9,Table2[#All], 2,FALSE)</f>
        <v>86.2</v>
      </c>
      <c r="E9">
        <f>VLOOKUP('master table'!B9,Table3[#All], 2,FALSE)</f>
        <v>11.7</v>
      </c>
      <c r="F9">
        <f>VLOOKUP('master table'!B9,Table4[#All], 2,FALSE)</f>
        <v>0.99</v>
      </c>
      <c r="G9">
        <f>VLOOKUP('master table'!B9,Table5[#All], 2,FALSE)</f>
        <v>1.6</v>
      </c>
      <c r="H9">
        <f>VLOOKUP('master table'!B9,Table6[#All], 2,FALSE)</f>
        <v>38.700000000000003</v>
      </c>
      <c r="I9">
        <f>VLOOKUP('master table'!B9,Table7[#All], 2,FALSE)</f>
        <v>108.2</v>
      </c>
      <c r="J9">
        <f>VLOOKUP('master table'!B9,Table8[#All], 2,FALSE)</f>
        <v>83.3</v>
      </c>
      <c r="K9">
        <f>VLOOKUP('master table'!B9,Table9[#All], 2,FALSE)</f>
        <v>178.77</v>
      </c>
      <c r="L9">
        <f>VLOOKUP('master table'!B9,Table9[#All], 3,FALSE)</f>
        <v>164.67</v>
      </c>
      <c r="M9">
        <f>VLOOKUP('master table'!B9,Table10[#All], 2,FALSE)</f>
        <v>54799</v>
      </c>
    </row>
    <row r="10" spans="2:13" x14ac:dyDescent="0.2">
      <c r="B10" t="s">
        <v>23</v>
      </c>
      <c r="C10">
        <f>VLOOKUP('master table'!B10,Table1[#All], 2,FALSE)</f>
        <v>1.5</v>
      </c>
      <c r="D10">
        <f>VLOOKUP('master table'!B10,Table2[#All], 2,FALSE)</f>
        <v>58.7</v>
      </c>
      <c r="E10">
        <f>VLOOKUP('master table'!B10,Table3[#All], 2,FALSE)</f>
        <v>11.4</v>
      </c>
      <c r="F10">
        <f>VLOOKUP('master table'!B10,Table4[#All], 2,FALSE)</f>
        <v>0.96</v>
      </c>
      <c r="G10">
        <f>VLOOKUP('master table'!B10,Table5[#All], 2,FALSE)</f>
        <v>0.46</v>
      </c>
      <c r="H10">
        <f>VLOOKUP('master table'!B10,Table6[#All], 2,FALSE)</f>
        <v>44</v>
      </c>
      <c r="I10">
        <f>VLOOKUP('master table'!B10,Table7[#All], 2,FALSE)</f>
        <v>94.1</v>
      </c>
      <c r="J10">
        <f>VLOOKUP('master table'!B10,Table8[#All], 2,FALSE)</f>
        <v>81.400000000000006</v>
      </c>
      <c r="K10">
        <f>VLOOKUP('master table'!B10,Table9[#All], 2,FALSE)</f>
        <v>178.52</v>
      </c>
      <c r="L10">
        <f>VLOOKUP('master table'!B10,Table9[#All], 3,FALSE)</f>
        <v>166.93</v>
      </c>
      <c r="M10">
        <f>VLOOKUP('master table'!B10,Table10[#All], 2,FALSE)</f>
        <v>55171</v>
      </c>
    </row>
    <row r="11" spans="2:13" x14ac:dyDescent="0.2">
      <c r="B11" t="s">
        <v>25</v>
      </c>
      <c r="C11">
        <f>VLOOKUP('master table'!B11,Table1[#All], 2,FALSE)</f>
        <v>1.7</v>
      </c>
      <c r="D11">
        <f>VLOOKUP('master table'!B11,Table2[#All], 2,FALSE)</f>
        <v>56.4</v>
      </c>
      <c r="E11">
        <f>VLOOKUP('master table'!B11,Table3[#All], 2,FALSE)</f>
        <v>2.6</v>
      </c>
      <c r="F11">
        <f>VLOOKUP('master table'!B11,Table4[#All], 2,FALSE)</f>
        <v>0.98</v>
      </c>
      <c r="G11">
        <f>VLOOKUP('master table'!B11,Table5[#All], 2,FALSE)</f>
        <v>1.35</v>
      </c>
      <c r="H11">
        <f>VLOOKUP('master table'!B11,Table6[#All], 2,FALSE)</f>
        <v>32.299999999999997</v>
      </c>
      <c r="I11">
        <f>VLOOKUP('master table'!B11,Table7[#All], 2,FALSE)</f>
        <v>15.9</v>
      </c>
      <c r="J11">
        <f>VLOOKUP('master table'!B11,Table8[#All], 2,FALSE)</f>
        <v>72.900000000000006</v>
      </c>
      <c r="K11">
        <f>VLOOKUP('master table'!B11,Table9[#All], 2,FALSE)</f>
        <v>174</v>
      </c>
      <c r="L11">
        <f>VLOOKUP('master table'!B11,Table9[#All], 3,FALSE)</f>
        <v>161.37</v>
      </c>
      <c r="M11">
        <f>VLOOKUP('master table'!B11,Table10[#All], 2,FALSE)</f>
        <v>19156</v>
      </c>
    </row>
    <row r="12" spans="2:13" x14ac:dyDescent="0.2">
      <c r="B12" t="s">
        <v>27</v>
      </c>
      <c r="C12">
        <f>VLOOKUP('master table'!B12,Table1[#All], 2,FALSE)</f>
        <v>2</v>
      </c>
      <c r="D12">
        <f>VLOOKUP('master table'!B12,Table2[#All], 2,FALSE)</f>
        <v>89.5</v>
      </c>
      <c r="E12">
        <f>VLOOKUP('master table'!B12,Table3[#All], 2,FALSE)</f>
        <v>5.7</v>
      </c>
      <c r="F12">
        <f>VLOOKUP('master table'!B12,Table4[#All], 2,FALSE)</f>
        <v>1.53</v>
      </c>
      <c r="G12">
        <f>VLOOKUP('master table'!B12,Table5[#All], 2,FALSE)</f>
        <v>1.92</v>
      </c>
      <c r="H12">
        <f>VLOOKUP('master table'!B12,Table6[#All], 2,FALSE)</f>
        <v>32.299999999999997</v>
      </c>
      <c r="I12">
        <f>VLOOKUP('master table'!B12,Table7[#All], 2,FALSE)</f>
        <v>70.7</v>
      </c>
      <c r="J12">
        <f>VLOOKUP('master table'!B12,Table8[#All], 2,FALSE)</f>
        <v>77.2</v>
      </c>
      <c r="K12">
        <f>VLOOKUP('master table'!B12,Table9[#All], 2,FALSE)</f>
        <v>172.76</v>
      </c>
      <c r="L12">
        <f>VLOOKUP('master table'!B12,Table9[#All], 3,FALSE)</f>
        <v>158.29</v>
      </c>
      <c r="M12">
        <f>VLOOKUP('master table'!B12,Table10[#All], 2,FALSE)</f>
        <v>51991</v>
      </c>
    </row>
    <row r="13" spans="2:13" x14ac:dyDescent="0.2">
      <c r="B13" t="s">
        <v>29</v>
      </c>
      <c r="C13">
        <f>VLOOKUP('master table'!B13,Table1[#All], 2,FALSE)</f>
        <v>2</v>
      </c>
      <c r="D13">
        <f>VLOOKUP('master table'!B13,Table2[#All], 2,FALSE)</f>
        <v>38.200000000000003</v>
      </c>
      <c r="E13">
        <f>VLOOKUP('master table'!B13,Table3[#All], 2,FALSE)</f>
        <v>6.1</v>
      </c>
      <c r="F13">
        <f>VLOOKUP('master table'!B13,Table4[#All], 2,FALSE)</f>
        <v>0.97</v>
      </c>
      <c r="G13">
        <f>VLOOKUP('master table'!B13,Table5[#All], 2,FALSE)</f>
        <v>1.19</v>
      </c>
      <c r="H13">
        <f>VLOOKUP('master table'!B13,Table6[#All], 2,FALSE)</f>
        <v>26.7</v>
      </c>
      <c r="I13">
        <f>VLOOKUP('master table'!B13,Table7[#All], 2,FALSE)</f>
        <v>3.1</v>
      </c>
      <c r="J13">
        <f>VLOOKUP('master table'!B13,Table8[#All], 2,FALSE)</f>
        <v>72.3</v>
      </c>
      <c r="K13">
        <f>VLOOKUP('master table'!B13,Table9[#All], 2,FALSE)</f>
        <v>165.08</v>
      </c>
      <c r="L13">
        <f>VLOOKUP('master table'!B13,Table9[#All], 3,FALSE)</f>
        <v>152.38</v>
      </c>
      <c r="M13">
        <f>VLOOKUP('master table'!B13,Table10[#All], 2,FALSE)</f>
        <v>5453</v>
      </c>
    </row>
    <row r="14" spans="2:13" x14ac:dyDescent="0.2">
      <c r="B14" t="s">
        <v>31</v>
      </c>
      <c r="C14">
        <f>VLOOKUP('master table'!B14,Table1[#All], 2,FALSE)</f>
        <v>1.6</v>
      </c>
      <c r="D14">
        <f>VLOOKUP('master table'!B14,Table2[#All], 2,FALSE)</f>
        <v>31.2</v>
      </c>
      <c r="E14">
        <f>VLOOKUP('master table'!B14,Table3[#All], 2,FALSE)</f>
        <v>0.4</v>
      </c>
      <c r="F14">
        <f>VLOOKUP('master table'!B14,Table4[#All], 2,FALSE)</f>
        <v>0.94</v>
      </c>
      <c r="G14">
        <f>VLOOKUP('master table'!B14,Table5[#All], 2,FALSE)</f>
        <v>0.5</v>
      </c>
      <c r="H14">
        <f>VLOOKUP('master table'!B14,Table6[#All], 2,FALSE)</f>
        <v>38.6</v>
      </c>
      <c r="I14">
        <f>VLOOKUP('master table'!B14,Table7[#All], 2,FALSE)</f>
        <v>88.7</v>
      </c>
      <c r="J14">
        <f>VLOOKUP('master table'!B14,Table8[#All], 2,FALSE)</f>
        <v>79.099999999999994</v>
      </c>
      <c r="K14">
        <f>VLOOKUP('master table'!B14,Table9[#All], 2,FALSE)</f>
        <v>177.03</v>
      </c>
      <c r="L14">
        <f>VLOOKUP('master table'!B14,Table9[#All], 3,FALSE)</f>
        <v>165.66</v>
      </c>
      <c r="M14">
        <f>VLOOKUP('master table'!B14,Table10[#All], 2,FALSE)</f>
        <v>19364</v>
      </c>
    </row>
    <row r="15" spans="2:13" x14ac:dyDescent="0.2">
      <c r="B15" t="s">
        <v>33</v>
      </c>
      <c r="C15">
        <f>VLOOKUP('master table'!B15,Table1[#All], 2,FALSE)</f>
        <v>1.4</v>
      </c>
      <c r="D15">
        <f>VLOOKUP('master table'!B15,Table2[#All], 2,FALSE)</f>
        <v>79.5</v>
      </c>
      <c r="E15">
        <f>VLOOKUP('master table'!B15,Table3[#All], 2,FALSE)</f>
        <v>21.4</v>
      </c>
      <c r="F15">
        <f>VLOOKUP('master table'!B15,Table4[#All], 2,FALSE)</f>
        <v>0.87</v>
      </c>
      <c r="G15">
        <f>VLOOKUP('master table'!B15,Table5[#All], 2,FALSE)</f>
        <v>-0.1</v>
      </c>
      <c r="H15">
        <f>VLOOKUP('master table'!B15,Table6[#All], 2,FALSE)</f>
        <v>40</v>
      </c>
      <c r="I15">
        <f>VLOOKUP('master table'!B15,Table7[#All], 2,FALSE)</f>
        <v>58.6</v>
      </c>
      <c r="J15">
        <f>VLOOKUP('master table'!B15,Table8[#All], 2,FALSE)</f>
        <v>74.599999999999994</v>
      </c>
      <c r="K15">
        <f>VLOOKUP('master table'!B15,Table9[#All], 2,FALSE)</f>
        <v>178.69</v>
      </c>
      <c r="L15">
        <f>VLOOKUP('master table'!B15,Table9[#All], 3,FALSE)</f>
        <v>166.93</v>
      </c>
      <c r="M15">
        <f>VLOOKUP('master table'!B15,Table10[#All], 2,FALSE)</f>
        <v>21224</v>
      </c>
    </row>
    <row r="16" spans="2:13" x14ac:dyDescent="0.2">
      <c r="B16" t="s">
        <v>35</v>
      </c>
      <c r="C16">
        <f>VLOOKUP('master table'!B16,Table1[#All], 2,FALSE)</f>
        <v>1.6</v>
      </c>
      <c r="D16">
        <f>VLOOKUP('master table'!B16,Table2[#All], 2,FALSE)</f>
        <v>98.1</v>
      </c>
      <c r="E16">
        <f>VLOOKUP('master table'!B16,Table3[#All], 2,FALSE)</f>
        <v>15.7</v>
      </c>
      <c r="F16">
        <f>VLOOKUP('master table'!B16,Table4[#All], 2,FALSE)</f>
        <v>0.97</v>
      </c>
      <c r="G16">
        <f>VLOOKUP('master table'!B16,Table5[#All], 2,FALSE)</f>
        <v>0.85</v>
      </c>
      <c r="H16">
        <f>VLOOKUP('master table'!B16,Table6[#All], 2,FALSE)</f>
        <v>41.4</v>
      </c>
      <c r="I16">
        <f>VLOOKUP('master table'!B16,Table7[#All], 2,FALSE)</f>
        <v>86.1</v>
      </c>
      <c r="J16">
        <f>VLOOKUP('master table'!B16,Table8[#All], 2,FALSE)</f>
        <v>81.5</v>
      </c>
      <c r="K16">
        <f>VLOOKUP('master table'!B16,Table9[#All], 2,FALSE)</f>
        <v>179.09</v>
      </c>
      <c r="L16">
        <f>VLOOKUP('master table'!B16,Table9[#All], 3,FALSE)</f>
        <v>163.4</v>
      </c>
      <c r="M16">
        <f>VLOOKUP('master table'!B16,Table10[#All], 2,FALSE)</f>
        <v>50904</v>
      </c>
    </row>
    <row r="17" spans="2:13" x14ac:dyDescent="0.2">
      <c r="B17" t="s">
        <v>37</v>
      </c>
      <c r="C17">
        <f>VLOOKUP('master table'!B17,Table1[#All], 2,FALSE)</f>
        <v>2.2999999999999998</v>
      </c>
      <c r="D17">
        <f>VLOOKUP('master table'!B17,Table2[#All], 2,FALSE)</f>
        <v>46</v>
      </c>
      <c r="E17">
        <f>VLOOKUP('master table'!B17,Table3[#All], 2,FALSE)</f>
        <v>5.9</v>
      </c>
      <c r="F17">
        <f>VLOOKUP('master table'!B17,Table4[#All], 2,FALSE)</f>
        <v>1</v>
      </c>
      <c r="G17">
        <f>VLOOKUP('master table'!B17,Table5[#All], 2,FALSE)</f>
        <v>2.4300000000000002</v>
      </c>
      <c r="H17">
        <f>VLOOKUP('master table'!B17,Table6[#All], 2,FALSE)</f>
        <v>22.7</v>
      </c>
      <c r="I17">
        <f>VLOOKUP('master table'!B17,Table7[#All], 2,FALSE)</f>
        <v>74.7</v>
      </c>
      <c r="J17">
        <f>VLOOKUP('master table'!B17,Table8[#All], 2,FALSE)</f>
        <v>74.5</v>
      </c>
      <c r="K17">
        <f>VLOOKUP('master table'!B17,Table9[#All], 2,FALSE)</f>
        <v>170.52</v>
      </c>
      <c r="L17">
        <f>VLOOKUP('master table'!B17,Table9[#All], 3,FALSE)</f>
        <v>158.12</v>
      </c>
      <c r="M17">
        <f>VLOOKUP('master table'!B17,Table10[#All], 2,FALSE)</f>
        <v>8791</v>
      </c>
    </row>
    <row r="18" spans="2:13" x14ac:dyDescent="0.2">
      <c r="B18" t="s">
        <v>39</v>
      </c>
      <c r="C18">
        <f>VLOOKUP('master table'!B18,Table1[#All], 2,FALSE)</f>
        <v>4.8</v>
      </c>
      <c r="D18">
        <f>VLOOKUP('master table'!B18,Table2[#All], 2,FALSE)</f>
        <v>48.4</v>
      </c>
      <c r="E18">
        <f>VLOOKUP('master table'!B18,Table3[#All], 2,FALSE)</f>
        <v>15.7</v>
      </c>
      <c r="F18">
        <f>VLOOKUP('master table'!B18,Table4[#All], 2,FALSE)</f>
        <v>0.97</v>
      </c>
      <c r="G18">
        <f>VLOOKUP('master table'!B18,Table5[#All], 2,FALSE)</f>
        <v>2.73</v>
      </c>
      <c r="H18">
        <f>VLOOKUP('master table'!B18,Table6[#All], 2,FALSE)</f>
        <v>18.2</v>
      </c>
      <c r="I18">
        <f>VLOOKUP('master table'!B18,Table7[#All], 2,FALSE)</f>
        <v>16.2</v>
      </c>
      <c r="J18">
        <f>VLOOKUP('master table'!B18,Table8[#All], 2,FALSE)</f>
        <v>61.5</v>
      </c>
      <c r="K18">
        <f>VLOOKUP('master table'!B18,Table9[#All], 2,FALSE)</f>
        <v>168.44</v>
      </c>
      <c r="L18">
        <f>VLOOKUP('master table'!B18,Table9[#All], 3,FALSE)</f>
        <v>158.4</v>
      </c>
      <c r="M18">
        <f>VLOOKUP('master table'!B18,Table10[#All], 2,FALSE)</f>
        <v>3648</v>
      </c>
    </row>
    <row r="19" spans="2:13" x14ac:dyDescent="0.2">
      <c r="B19" t="s">
        <v>43</v>
      </c>
      <c r="C19">
        <f>VLOOKUP('master table'!B19,Table1[#All], 2,FALSE)</f>
        <v>2</v>
      </c>
      <c r="D19">
        <f>VLOOKUP('master table'!B19,Table2[#All], 2,FALSE)</f>
        <v>42.3</v>
      </c>
      <c r="E19">
        <f>VLOOKUP('master table'!B19,Table3[#All], 2,FALSE)</f>
        <v>11.6</v>
      </c>
      <c r="F19">
        <f>VLOOKUP('master table'!B19,Table4[#All], 2,FALSE)</f>
        <v>1.08</v>
      </c>
      <c r="G19">
        <f>VLOOKUP('master table'!B19,Table5[#All], 2,FALSE)</f>
        <v>1.68</v>
      </c>
      <c r="H19">
        <f>VLOOKUP('master table'!B19,Table6[#All], 2,FALSE)</f>
        <v>27.6</v>
      </c>
      <c r="I19">
        <f>VLOOKUP('master table'!B19,Table7[#All], 2,FALSE)</f>
        <v>3</v>
      </c>
      <c r="J19">
        <f>VLOOKUP('master table'!B19,Table8[#All], 2,FALSE)</f>
        <v>71.5</v>
      </c>
      <c r="K19">
        <f>VLOOKUP('master table'!B19,Table9[#All], 2,FALSE)</f>
        <v>167.05</v>
      </c>
      <c r="L19">
        <f>VLOOKUP('master table'!B19,Table9[#All], 3,FALSE)</f>
        <v>155.15</v>
      </c>
      <c r="M19">
        <f>VLOOKUP('master table'!B19,Table10[#All], 2,FALSE)</f>
        <v>10627</v>
      </c>
    </row>
    <row r="20" spans="2:13" x14ac:dyDescent="0.2">
      <c r="B20" t="s">
        <v>45</v>
      </c>
      <c r="C20">
        <f>VLOOKUP('master table'!B20,Table1[#All], 2,FALSE)</f>
        <v>2.7</v>
      </c>
      <c r="D20">
        <f>VLOOKUP('master table'!B20,Table2[#All], 2,FALSE)</f>
        <v>70.099999999999994</v>
      </c>
      <c r="E20">
        <f>VLOOKUP('master table'!B20,Table3[#All], 2,FALSE)</f>
        <v>12.9</v>
      </c>
      <c r="F20">
        <f>VLOOKUP('master table'!B20,Table4[#All], 2,FALSE)</f>
        <v>0.98</v>
      </c>
      <c r="G20">
        <f>VLOOKUP('master table'!B20,Table5[#All], 2,FALSE)</f>
        <v>1.65</v>
      </c>
      <c r="H20">
        <f>VLOOKUP('master table'!B20,Table6[#All], 2,FALSE)</f>
        <v>24.3</v>
      </c>
      <c r="I20">
        <f>VLOOKUP('master table'!B20,Table7[#All], 2,FALSE)</f>
        <v>50</v>
      </c>
      <c r="J20">
        <f>VLOOKUP('master table'!B20,Table8[#All], 2,FALSE)</f>
        <v>71.2</v>
      </c>
      <c r="K20">
        <f>VLOOKUP('master table'!B20,Table9[#All], 2,FALSE)</f>
        <v>168.1</v>
      </c>
      <c r="L20">
        <f>VLOOKUP('master table'!B20,Table9[#All], 3,FALSE)</f>
        <v>155.58000000000001</v>
      </c>
      <c r="M20">
        <f>VLOOKUP('master table'!B20,Table10[#All], 2,FALSE)</f>
        <v>8525</v>
      </c>
    </row>
    <row r="21" spans="2:13" x14ac:dyDescent="0.2">
      <c r="B21" t="s">
        <v>47</v>
      </c>
      <c r="C21">
        <f>VLOOKUP('master table'!B21,Table1[#All], 2,FALSE)</f>
        <v>1.3</v>
      </c>
      <c r="D21">
        <f>VLOOKUP('master table'!B21,Table2[#All], 2,FALSE)</f>
        <v>49</v>
      </c>
      <c r="E21">
        <f>VLOOKUP('master table'!B21,Table3[#All], 2,FALSE)</f>
        <v>6.4</v>
      </c>
      <c r="F21">
        <f>VLOOKUP('master table'!B21,Table4[#All], 2,FALSE)</f>
        <v>0.95</v>
      </c>
      <c r="G21">
        <f>VLOOKUP('master table'!B21,Table5[#All], 2,FALSE)</f>
        <v>-0.14000000000000001</v>
      </c>
      <c r="H21">
        <f>VLOOKUP('master table'!B21,Table6[#All], 2,FALSE)</f>
        <v>42.1</v>
      </c>
      <c r="I21">
        <f>VLOOKUP('master table'!B21,Table7[#All], 2,FALSE)</f>
        <v>21.4</v>
      </c>
      <c r="J21">
        <f>VLOOKUP('master table'!B21,Table8[#All], 2,FALSE)</f>
        <v>77.3</v>
      </c>
      <c r="K21">
        <f>VLOOKUP('master table'!B21,Table9[#All], 2,FALSE)</f>
        <v>182.47</v>
      </c>
      <c r="L21">
        <f>VLOOKUP('master table'!B21,Table9[#All], 3,FALSE)</f>
        <v>167.47</v>
      </c>
      <c r="M21">
        <f>VLOOKUP('master table'!B21,Table10[#All], 2,FALSE)</f>
        <v>14894</v>
      </c>
    </row>
    <row r="22" spans="2:13" x14ac:dyDescent="0.2">
      <c r="B22" t="s">
        <v>49</v>
      </c>
      <c r="C22">
        <f>VLOOKUP('master table'!B22,Table1[#All], 2,FALSE)</f>
        <v>2.9</v>
      </c>
      <c r="D22">
        <f>VLOOKUP('master table'!B22,Table2[#All], 2,FALSE)</f>
        <v>70.900000000000006</v>
      </c>
      <c r="E22">
        <f>VLOOKUP('master table'!B22,Table3[#All], 2,FALSE)</f>
        <v>11.5</v>
      </c>
      <c r="F22">
        <f>VLOOKUP('master table'!B22,Table4[#All], 2,FALSE)</f>
        <v>0.93</v>
      </c>
      <c r="G22">
        <f>VLOOKUP('master table'!B22,Table5[#All], 2,FALSE)</f>
        <v>0.86</v>
      </c>
      <c r="H22">
        <f>VLOOKUP('master table'!B22,Table6[#All], 2,FALSE)</f>
        <v>24.5</v>
      </c>
      <c r="I22">
        <f>VLOOKUP('master table'!B22,Table7[#All], 2,FALSE)</f>
        <v>27.3</v>
      </c>
      <c r="J22">
        <f>VLOOKUP('master table'!B22,Table8[#All], 2,FALSE)</f>
        <v>69.3</v>
      </c>
      <c r="K22">
        <f>VLOOKUP('master table'!B22,Table9[#All], 2,FALSE)</f>
        <v>173.16</v>
      </c>
      <c r="L22">
        <f>VLOOKUP('master table'!B22,Table9[#All], 3,FALSE)</f>
        <v>162.06</v>
      </c>
      <c r="M22">
        <f>VLOOKUP('master table'!B22,Table10[#All], 2,FALSE)</f>
        <v>19388</v>
      </c>
    </row>
    <row r="23" spans="2:13" x14ac:dyDescent="0.2">
      <c r="B23" t="s">
        <v>51</v>
      </c>
      <c r="C23">
        <f>VLOOKUP('master table'!B23,Table1[#All], 2,FALSE)</f>
        <v>1.7</v>
      </c>
      <c r="D23">
        <f>VLOOKUP('master table'!B23,Table2[#All], 2,FALSE)</f>
        <v>87.1</v>
      </c>
      <c r="E23">
        <f>VLOOKUP('master table'!B23,Table3[#All], 2,FALSE)</f>
        <v>6.1</v>
      </c>
      <c r="F23">
        <f>VLOOKUP('master table'!B23,Table4[#All], 2,FALSE)</f>
        <v>0.97</v>
      </c>
      <c r="G23">
        <f>VLOOKUP('master table'!B23,Table5[#All], 2,FALSE)</f>
        <v>0.87</v>
      </c>
      <c r="H23">
        <f>VLOOKUP('master table'!B23,Table6[#All], 2,FALSE)</f>
        <v>32.6</v>
      </c>
      <c r="I23">
        <f>VLOOKUP('master table'!B23,Table7[#All], 2,FALSE)</f>
        <v>82.4</v>
      </c>
      <c r="J23">
        <f>VLOOKUP('master table'!B23,Table8[#All], 2,FALSE)</f>
        <v>75.7</v>
      </c>
      <c r="K23">
        <f>VLOOKUP('master table'!B23,Table9[#All], 2,FALSE)</f>
        <v>175.73</v>
      </c>
      <c r="L23">
        <f>VLOOKUP('master table'!B23,Table9[#All], 3,FALSE)</f>
        <v>162.41</v>
      </c>
      <c r="M23">
        <f>VLOOKUP('master table'!B23,Table10[#All], 2,FALSE)</f>
        <v>17106</v>
      </c>
    </row>
    <row r="24" spans="2:13" x14ac:dyDescent="0.2">
      <c r="B24" t="s">
        <v>55</v>
      </c>
      <c r="C24">
        <f>VLOOKUP('master table'!B24,Table1[#All], 2,FALSE)</f>
        <v>1.6</v>
      </c>
      <c r="D24">
        <f>VLOOKUP('master table'!B24,Table2[#All], 2,FALSE)</f>
        <v>75.7</v>
      </c>
      <c r="E24">
        <f>VLOOKUP('master table'!B24,Table3[#All], 2,FALSE)</f>
        <v>7.9</v>
      </c>
      <c r="F24">
        <f>VLOOKUP('master table'!B24,Table4[#All], 2,FALSE)</f>
        <v>0.95</v>
      </c>
      <c r="G24">
        <f>VLOOKUP('master table'!B24,Table5[#All], 2,FALSE)</f>
        <v>-0.6</v>
      </c>
      <c r="H24">
        <f>VLOOKUP('master table'!B24,Table6[#All], 2,FALSE)</f>
        <v>42.7</v>
      </c>
      <c r="I24">
        <f>VLOOKUP('master table'!B24,Table7[#All], 2,FALSE)</f>
        <v>69.400000000000006</v>
      </c>
      <c r="J24">
        <f>VLOOKUP('master table'!B24,Table8[#All], 2,FALSE)</f>
        <v>74.900000000000006</v>
      </c>
      <c r="K24">
        <f>VLOOKUP('master table'!B24,Table9[#All], 2,FALSE)</f>
        <v>174.17</v>
      </c>
      <c r="L24">
        <f>VLOOKUP('master table'!B24,Table9[#All], 3,FALSE)</f>
        <v>164.58</v>
      </c>
      <c r="M24">
        <f>VLOOKUP('master table'!B24,Table10[#All], 2,FALSE)</f>
        <v>26034</v>
      </c>
    </row>
    <row r="25" spans="2:13" x14ac:dyDescent="0.2">
      <c r="B25" t="s">
        <v>57</v>
      </c>
      <c r="C25">
        <f>VLOOKUP('master table'!B25,Table1[#All], 2,FALSE)</f>
        <v>5.2</v>
      </c>
      <c r="D25">
        <f>VLOOKUP('master table'!B25,Table2[#All], 2,FALSE)</f>
        <v>30.6</v>
      </c>
      <c r="E25">
        <f>VLOOKUP('master table'!B25,Table3[#All], 2,FALSE)</f>
        <v>14.8</v>
      </c>
      <c r="F25">
        <f>VLOOKUP('master table'!B25,Table4[#All], 2,FALSE)</f>
        <v>0.96</v>
      </c>
      <c r="G25">
        <f>VLOOKUP('master table'!B25,Table5[#All], 2,FALSE)</f>
        <v>2.86</v>
      </c>
      <c r="H25">
        <f>VLOOKUP('master table'!B25,Table6[#All], 2,FALSE)</f>
        <v>17.3</v>
      </c>
      <c r="I25">
        <f>VLOOKUP('master table'!B25,Table7[#All], 2,FALSE)</f>
        <v>11.2</v>
      </c>
      <c r="J25">
        <f>VLOOKUP('master table'!B25,Table8[#All], 2,FALSE)</f>
        <v>61.2</v>
      </c>
      <c r="K25">
        <f>VLOOKUP('master table'!B25,Table9[#All], 2,FALSE)</f>
        <v>171.89</v>
      </c>
      <c r="L25">
        <f>VLOOKUP('master table'!B25,Table9[#All], 3,FALSE)</f>
        <v>161.33000000000001</v>
      </c>
      <c r="M25">
        <f>VLOOKUP('master table'!B25,Table10[#All], 2,FALSE)</f>
        <v>2181</v>
      </c>
    </row>
    <row r="26" spans="2:13" x14ac:dyDescent="0.2">
      <c r="B26" t="s">
        <v>59</v>
      </c>
      <c r="C26">
        <f>VLOOKUP('master table'!B26,Table1[#All], 2,FALSE)</f>
        <v>5.4</v>
      </c>
      <c r="D26">
        <f>VLOOKUP('master table'!B26,Table2[#All], 2,FALSE)</f>
        <v>13.7</v>
      </c>
      <c r="E26">
        <f>VLOOKUP('master table'!B26,Table3[#All], 2,FALSE)</f>
        <v>15</v>
      </c>
      <c r="F26">
        <f>VLOOKUP('master table'!B26,Table4[#All], 2,FALSE)</f>
        <v>0.99</v>
      </c>
      <c r="G26">
        <f>VLOOKUP('master table'!B26,Table5[#All], 2,FALSE)</f>
        <v>3.19</v>
      </c>
      <c r="H26">
        <f>VLOOKUP('master table'!B26,Table6[#All], 2,FALSE)</f>
        <v>17</v>
      </c>
      <c r="I26">
        <f>VLOOKUP('master table'!B26,Table7[#All], 2,FALSE)</f>
        <v>3.5</v>
      </c>
      <c r="J26">
        <f>VLOOKUP('master table'!B26,Table8[#All], 2,FALSE)</f>
        <v>61.2</v>
      </c>
      <c r="K26">
        <f>VLOOKUP('master table'!B26,Table9[#All], 2,FALSE)</f>
        <v>167.34</v>
      </c>
      <c r="L26">
        <f>VLOOKUP('master table'!B26,Table9[#All], 3,FALSE)</f>
        <v>155.08000000000001</v>
      </c>
      <c r="M26">
        <f>VLOOKUP('master table'!B26,Table10[#All], 2,FALSE)</f>
        <v>724</v>
      </c>
    </row>
    <row r="27" spans="2:13" x14ac:dyDescent="0.2">
      <c r="B27" t="s">
        <v>61</v>
      </c>
      <c r="C27">
        <f>VLOOKUP('master table'!B27,Table1[#All], 2,FALSE)</f>
        <v>2.5</v>
      </c>
      <c r="D27">
        <f>VLOOKUP('master table'!B27,Table2[#All], 2,FALSE)</f>
        <v>24.2</v>
      </c>
      <c r="E27">
        <f>VLOOKUP('master table'!B27,Table3[#All], 2,FALSE)</f>
        <v>5.9</v>
      </c>
      <c r="F27">
        <f>VLOOKUP('master table'!B27,Table4[#All], 2,FALSE)</f>
        <v>0.95</v>
      </c>
      <c r="G27">
        <f>VLOOKUP('master table'!B27,Table5[#All], 2,FALSE)</f>
        <v>1.76</v>
      </c>
      <c r="H27">
        <f>VLOOKUP('master table'!B27,Table6[#All], 2,FALSE)</f>
        <v>25.3</v>
      </c>
      <c r="I27">
        <f>VLOOKUP('master table'!B27,Table7[#All], 2,FALSE)</f>
        <v>13.9</v>
      </c>
      <c r="J27">
        <f>VLOOKUP('master table'!B27,Table8[#All], 2,FALSE)</f>
        <v>69.599999999999994</v>
      </c>
      <c r="K27">
        <f>VLOOKUP('master table'!B27,Table9[#All], 2,FALSE)</f>
        <v>165.35</v>
      </c>
      <c r="L27">
        <f>VLOOKUP('master table'!B27,Table9[#All], 3,FALSE)</f>
        <v>154.75</v>
      </c>
      <c r="M27">
        <f>VLOOKUP('master table'!B27,Table10[#All], 2,FALSE)</f>
        <v>5004</v>
      </c>
    </row>
    <row r="28" spans="2:13" x14ac:dyDescent="0.2">
      <c r="B28" t="s">
        <v>63</v>
      </c>
      <c r="C28">
        <f>VLOOKUP('master table'!B28,Table1[#All], 2,FALSE)</f>
        <v>4.5999999999999996</v>
      </c>
      <c r="D28">
        <f>VLOOKUP('master table'!B28,Table2[#All], 2,FALSE)</f>
        <v>57.6</v>
      </c>
      <c r="E28">
        <f>VLOOKUP('master table'!B28,Table3[#All], 2,FALSE)</f>
        <v>19.5</v>
      </c>
      <c r="F28">
        <f>VLOOKUP('master table'!B28,Table4[#All], 2,FALSE)</f>
        <v>0.99</v>
      </c>
      <c r="G28">
        <f>VLOOKUP('master table'!B28,Table5[#All], 2,FALSE)</f>
        <v>2.54</v>
      </c>
      <c r="H28">
        <f>VLOOKUP('master table'!B28,Table6[#All], 2,FALSE)</f>
        <v>18.5</v>
      </c>
      <c r="I28">
        <f>VLOOKUP('master table'!B28,Table7[#All], 2,FALSE)</f>
        <v>14.4</v>
      </c>
      <c r="J28">
        <f>VLOOKUP('master table'!B28,Table8[#All], 2,FALSE)</f>
        <v>58.9</v>
      </c>
      <c r="K28">
        <f>VLOOKUP('master table'!B28,Table9[#All], 2,FALSE)</f>
        <v>172.13</v>
      </c>
      <c r="L28">
        <f>VLOOKUP('master table'!B28,Table9[#All], 3,FALSE)</f>
        <v>160.41</v>
      </c>
      <c r="M28">
        <f>VLOOKUP('master table'!B28,Table10[#All], 2,FALSE)</f>
        <v>4099</v>
      </c>
    </row>
    <row r="29" spans="2:13" x14ac:dyDescent="0.2">
      <c r="B29" t="s">
        <v>65</v>
      </c>
      <c r="C29">
        <f>VLOOKUP('master table'!B29,Table1[#All], 2,FALSE)</f>
        <v>1.5</v>
      </c>
      <c r="D29">
        <f>VLOOKUP('master table'!B29,Table2[#All], 2,FALSE)</f>
        <v>81.599999999999994</v>
      </c>
      <c r="E29">
        <f>VLOOKUP('master table'!B29,Table3[#All], 2,FALSE)</f>
        <v>10.4</v>
      </c>
      <c r="F29">
        <f>VLOOKUP('master table'!B29,Table4[#All], 2,FALSE)</f>
        <v>0.98</v>
      </c>
      <c r="G29">
        <f>VLOOKUP('master table'!B29,Table5[#All], 2,FALSE)</f>
        <v>1.1399999999999999</v>
      </c>
      <c r="H29">
        <f>VLOOKUP('master table'!B29,Table6[#All], 2,FALSE)</f>
        <v>42.2</v>
      </c>
      <c r="I29">
        <f>VLOOKUP('master table'!B29,Table7[#All], 2,FALSE)</f>
        <v>108.1</v>
      </c>
      <c r="J29">
        <f>VLOOKUP('master table'!B29,Table8[#All], 2,FALSE)</f>
        <v>82.3</v>
      </c>
      <c r="K29">
        <f>VLOOKUP('master table'!B29,Table9[#All], 2,FALSE)</f>
        <v>178.75</v>
      </c>
      <c r="L29">
        <f>VLOOKUP('master table'!B29,Table9[#All], 3,FALSE)</f>
        <v>164.73</v>
      </c>
      <c r="M29">
        <f>VLOOKUP('master table'!B29,Table10[#All], 2,FALSE)</f>
        <v>52144</v>
      </c>
    </row>
    <row r="30" spans="2:13" x14ac:dyDescent="0.2">
      <c r="B30" t="s">
        <v>69</v>
      </c>
      <c r="C30">
        <f>VLOOKUP('master table'!B30,Table1[#All], 2,FALSE)</f>
        <v>4.7</v>
      </c>
      <c r="D30">
        <f>VLOOKUP('master table'!B30,Table2[#All], 2,FALSE)</f>
        <v>42.2</v>
      </c>
      <c r="E30">
        <f>VLOOKUP('master table'!B30,Table3[#All], 2,FALSE)</f>
        <v>11.6</v>
      </c>
      <c r="F30">
        <f>VLOOKUP('master table'!B30,Table4[#All], 2,FALSE)</f>
        <v>0.99</v>
      </c>
      <c r="G30">
        <f>VLOOKUP('master table'!B30,Table5[#All], 2,FALSE)</f>
        <v>1.99</v>
      </c>
      <c r="H30">
        <f>VLOOKUP('master table'!B30,Table6[#All], 2,FALSE)</f>
        <v>19.7</v>
      </c>
      <c r="I30">
        <f>VLOOKUP('master table'!B30,Table7[#All], 2,FALSE)</f>
        <v>28</v>
      </c>
      <c r="J30">
        <f>VLOOKUP('master table'!B30,Table8[#All], 2,FALSE)</f>
        <v>52.8</v>
      </c>
      <c r="K30">
        <f>VLOOKUP('master table'!B30,Table9[#All], 2,FALSE)</f>
        <v>169.01</v>
      </c>
      <c r="L30">
        <f>VLOOKUP('master table'!B30,Table9[#All], 3,FALSE)</f>
        <v>159.65</v>
      </c>
      <c r="M30">
        <f>VLOOKUP('master table'!B30,Table10[#All], 2,FALSE)</f>
        <v>864</v>
      </c>
    </row>
    <row r="31" spans="2:13" x14ac:dyDescent="0.2">
      <c r="B31" t="s">
        <v>71</v>
      </c>
      <c r="C31">
        <f>VLOOKUP('master table'!B31,Table1[#All], 2,FALSE)</f>
        <v>5.7</v>
      </c>
      <c r="D31">
        <f>VLOOKUP('master table'!B31,Table2[#All], 2,FALSE)</f>
        <v>23.5</v>
      </c>
      <c r="E31">
        <f>VLOOKUP('master table'!B31,Table3[#All], 2,FALSE)</f>
        <v>15.5</v>
      </c>
      <c r="F31">
        <f>VLOOKUP('master table'!B31,Table4[#All], 2,FALSE)</f>
        <v>0.98</v>
      </c>
      <c r="G31">
        <f>VLOOKUP('master table'!B31,Table5[#All], 2,FALSE)</f>
        <v>3</v>
      </c>
      <c r="H31">
        <f>VLOOKUP('master table'!B31,Table6[#All], 2,FALSE)</f>
        <v>17.8</v>
      </c>
      <c r="I31">
        <f>VLOOKUP('master table'!B31,Table7[#All], 2,FALSE)</f>
        <v>14.3</v>
      </c>
      <c r="J31">
        <f>VLOOKUP('master table'!B31,Table8[#All], 2,FALSE)</f>
        <v>54</v>
      </c>
      <c r="K31">
        <f>VLOOKUP('master table'!B31,Table9[#All], 2,FALSE)</f>
        <v>171.84</v>
      </c>
      <c r="L31">
        <f>VLOOKUP('master table'!B31,Table9[#All], 3,FALSE)</f>
        <v>162.12</v>
      </c>
      <c r="M31">
        <f>VLOOKUP('master table'!B31,Table10[#All], 2,FALSE)</f>
        <v>2603</v>
      </c>
    </row>
    <row r="32" spans="2:13" x14ac:dyDescent="0.2">
      <c r="B32" t="s">
        <v>73</v>
      </c>
      <c r="C32">
        <f>VLOOKUP('master table'!B32,Table1[#All], 2,FALSE)</f>
        <v>1.6</v>
      </c>
      <c r="D32">
        <f>VLOOKUP('master table'!B32,Table2[#All], 2,FALSE)</f>
        <v>87.7</v>
      </c>
      <c r="E32">
        <f>VLOOKUP('master table'!B32,Table3[#All], 2,FALSE)</f>
        <v>9.6999999999999993</v>
      </c>
      <c r="F32">
        <f>VLOOKUP('master table'!B32,Table4[#All], 2,FALSE)</f>
        <v>0.97</v>
      </c>
      <c r="G32">
        <f>VLOOKUP('master table'!B32,Table5[#All], 2,FALSE)</f>
        <v>0.9</v>
      </c>
      <c r="H32">
        <f>VLOOKUP('master table'!B32,Table6[#All], 2,FALSE)</f>
        <v>34.4</v>
      </c>
      <c r="I32">
        <f>VLOOKUP('master table'!B32,Table7[#All], 2,FALSE)</f>
        <v>66.400000000000006</v>
      </c>
      <c r="J32">
        <f>VLOOKUP('master table'!B32,Table8[#All], 2,FALSE)</f>
        <v>80</v>
      </c>
      <c r="K32">
        <f>VLOOKUP('master table'!B32,Table9[#All], 2,FALSE)</f>
        <v>172.88</v>
      </c>
      <c r="L32">
        <f>VLOOKUP('master table'!B32,Table9[#All], 3,FALSE)</f>
        <v>159.41999999999999</v>
      </c>
      <c r="M32">
        <f>VLOOKUP('master table'!B32,Table10[#All], 2,FALSE)</f>
        <v>27150</v>
      </c>
    </row>
    <row r="33" spans="2:13" x14ac:dyDescent="0.2">
      <c r="B33" t="s">
        <v>75</v>
      </c>
      <c r="C33">
        <f>VLOOKUP('master table'!B33,Table1[#All], 2,FALSE)</f>
        <v>1.7</v>
      </c>
      <c r="D33">
        <f>VLOOKUP('master table'!B33,Table2[#All], 2,FALSE)</f>
        <v>61.4</v>
      </c>
      <c r="E33">
        <f>VLOOKUP('master table'!B33,Table3[#All], 2,FALSE)</f>
        <v>8</v>
      </c>
      <c r="F33">
        <f>VLOOKUP('master table'!B33,Table4[#All], 2,FALSE)</f>
        <v>1.06</v>
      </c>
      <c r="G33">
        <f>VLOOKUP('master table'!B33,Table5[#All], 2,FALSE)</f>
        <v>0.49</v>
      </c>
      <c r="H33">
        <f>VLOOKUP('master table'!B33,Table6[#All], 2,FALSE)</f>
        <v>37.4</v>
      </c>
      <c r="I33">
        <f>VLOOKUP('master table'!B33,Table7[#All], 2,FALSE)</f>
        <v>52.4</v>
      </c>
      <c r="J33">
        <f>VLOOKUP('master table'!B33,Table8[#All], 2,FALSE)</f>
        <v>76.7</v>
      </c>
      <c r="K33">
        <f>VLOOKUP('master table'!B33,Table9[#All], 2,FALSE)</f>
        <v>175.66</v>
      </c>
      <c r="L33">
        <f>VLOOKUP('master table'!B33,Table9[#All], 3,FALSE)</f>
        <v>163.46</v>
      </c>
      <c r="M33">
        <f>VLOOKUP('master table'!B33,Table10[#All], 2,FALSE)</f>
        <v>20984</v>
      </c>
    </row>
    <row r="34" spans="2:13" x14ac:dyDescent="0.2">
      <c r="B34" t="s">
        <v>77</v>
      </c>
      <c r="C34">
        <f>VLOOKUP('master table'!B34,Table1[#All], 2,FALSE)</f>
        <v>1.8</v>
      </c>
      <c r="D34">
        <f>VLOOKUP('master table'!B34,Table2[#All], 2,FALSE)</f>
        <v>81.400000000000006</v>
      </c>
      <c r="E34">
        <f>VLOOKUP('master table'!B34,Table3[#All], 2,FALSE)</f>
        <v>7</v>
      </c>
      <c r="F34">
        <f>VLOOKUP('master table'!B34,Table4[#All], 2,FALSE)</f>
        <v>0.98</v>
      </c>
      <c r="G34">
        <f>VLOOKUP('master table'!B34,Table5[#All], 2,FALSE)</f>
        <v>1.32</v>
      </c>
      <c r="H34">
        <f>VLOOKUP('master table'!B34,Table6[#All], 2,FALSE)</f>
        <v>30</v>
      </c>
      <c r="I34">
        <f>VLOOKUP('master table'!B34,Table7[#All], 2,FALSE)</f>
        <v>33.9</v>
      </c>
      <c r="J34">
        <f>VLOOKUP('master table'!B34,Table8[#All], 2,FALSE)</f>
        <v>77.099999999999994</v>
      </c>
      <c r="K34">
        <f>VLOOKUP('master table'!B34,Table9[#All], 2,FALSE)</f>
        <v>171.85</v>
      </c>
      <c r="L34">
        <f>VLOOKUP('master table'!B34,Table9[#All], 3,FALSE)</f>
        <v>157.96</v>
      </c>
      <c r="M34">
        <f>VLOOKUP('master table'!B34,Table10[#All], 2,FALSE)</f>
        <v>16265</v>
      </c>
    </row>
    <row r="35" spans="2:13" x14ac:dyDescent="0.2">
      <c r="B35" t="s">
        <v>79</v>
      </c>
      <c r="C35">
        <f>VLOOKUP('master table'!B35,Table1[#All], 2,FALSE)</f>
        <v>4.2</v>
      </c>
      <c r="D35">
        <f>VLOOKUP('master table'!B35,Table2[#All], 2,FALSE)</f>
        <v>29.4</v>
      </c>
      <c r="E35">
        <f>VLOOKUP('master table'!B35,Table3[#All], 2,FALSE)</f>
        <v>11.1</v>
      </c>
      <c r="F35">
        <f>VLOOKUP('master table'!B35,Table4[#All], 2,FALSE)</f>
        <v>0.94</v>
      </c>
      <c r="G35">
        <f>VLOOKUP('master table'!B35,Table5[#All], 2,FALSE)</f>
        <v>2.44</v>
      </c>
      <c r="H35">
        <f>VLOOKUP('master table'!B35,Table6[#All], 2,FALSE)</f>
        <v>19.899999999999999</v>
      </c>
      <c r="I35">
        <f>VLOOKUP('master table'!B35,Table7[#All], 2,FALSE)</f>
        <v>7.6</v>
      </c>
      <c r="J35">
        <f>VLOOKUP('master table'!B35,Table8[#All], 2,FALSE)</f>
        <v>64.099999999999994</v>
      </c>
      <c r="K35">
        <f>VLOOKUP('master table'!B35,Table9[#All], 2,FALSE)</f>
        <v>167.72</v>
      </c>
      <c r="L35">
        <f>VLOOKUP('master table'!B35,Table9[#All], 3,FALSE)</f>
        <v>156.54</v>
      </c>
      <c r="M35">
        <f>VLOOKUP('master table'!B35,Table10[#All], 2,FALSE)</f>
        <v>2898</v>
      </c>
    </row>
    <row r="36" spans="2:13" x14ac:dyDescent="0.2">
      <c r="B36" t="s">
        <v>295</v>
      </c>
      <c r="C36">
        <f>VLOOKUP('master table'!B36,Table1[#All], 2,FALSE)</f>
        <v>4.4000000000000004</v>
      </c>
      <c r="D36">
        <f>VLOOKUP('master table'!B36,Table2[#All], 2,FALSE)</f>
        <v>67.8</v>
      </c>
      <c r="E36">
        <f>VLOOKUP('master table'!B36,Table3[#All], 2,FALSE)</f>
        <v>9.3000000000000007</v>
      </c>
      <c r="F36">
        <f>VLOOKUP('master table'!B36,Table4[#All], 2,FALSE)</f>
        <v>1.01</v>
      </c>
      <c r="G36">
        <f>VLOOKUP('master table'!B36,Table5[#All], 2,FALSE)</f>
        <v>2.61</v>
      </c>
      <c r="H36">
        <f>VLOOKUP('master table'!B36,Table6[#All], 2,FALSE)</f>
        <v>19.7</v>
      </c>
      <c r="I36">
        <f>VLOOKUP('master table'!B36,Table7[#All], 2,FALSE)</f>
        <v>13.3</v>
      </c>
      <c r="J36">
        <f>VLOOKUP('master table'!B36,Table8[#All], 2,FALSE)</f>
        <v>64.3</v>
      </c>
      <c r="K36">
        <f>VLOOKUP('master table'!B36,Table9[#All], 2,FALSE)</f>
        <v>171.23</v>
      </c>
      <c r="L36">
        <f>VLOOKUP('master table'!B36,Table9[#All], 3,FALSE)</f>
        <v>158.78</v>
      </c>
      <c r="M36">
        <f>VLOOKUP('master table'!B36,Table10[#All], 2,FALSE)</f>
        <v>7336</v>
      </c>
    </row>
    <row r="37" spans="2:13" x14ac:dyDescent="0.2">
      <c r="B37" t="s">
        <v>81</v>
      </c>
      <c r="C37">
        <f>VLOOKUP('master table'!B37,Table1[#All], 2,FALSE)</f>
        <v>1.8</v>
      </c>
      <c r="D37">
        <f>VLOOKUP('master table'!B37,Table2[#All], 2,FALSE)</f>
        <v>80.8</v>
      </c>
      <c r="E37">
        <f>VLOOKUP('master table'!B37,Table3[#All], 2,FALSE)</f>
        <v>7.5</v>
      </c>
      <c r="F37">
        <f>VLOOKUP('master table'!B37,Table4[#All], 2,FALSE)</f>
        <v>1</v>
      </c>
      <c r="G37">
        <f>VLOOKUP('master table'!B37,Table5[#All], 2,FALSE)</f>
        <v>1.42</v>
      </c>
      <c r="H37">
        <f>VLOOKUP('master table'!B37,Table6[#All], 2,FALSE)</f>
        <v>31.3</v>
      </c>
      <c r="I37">
        <f>VLOOKUP('master table'!B37,Table7[#All], 2,FALSE)</f>
        <v>40.4</v>
      </c>
      <c r="J37">
        <f>VLOOKUP('master table'!B37,Table8[#All], 2,FALSE)</f>
        <v>80.099999999999994</v>
      </c>
      <c r="K37">
        <f>VLOOKUP('master table'!B37,Table9[#All], 2,FALSE)</f>
        <v>174.04</v>
      </c>
      <c r="L37">
        <f>VLOOKUP('master table'!B37,Table9[#All], 3,FALSE)</f>
        <v>160.36000000000001</v>
      </c>
      <c r="M37">
        <f>VLOOKUP('master table'!B37,Table10[#All], 2,FALSE)</f>
        <v>18651</v>
      </c>
    </row>
    <row r="38" spans="2:13" x14ac:dyDescent="0.2">
      <c r="B38" t="s">
        <v>83</v>
      </c>
      <c r="C38">
        <f>VLOOKUP('master table'!B38,Table1[#All], 2,FALSE)</f>
        <v>1.5</v>
      </c>
      <c r="D38">
        <f>VLOOKUP('master table'!B38,Table2[#All], 2,FALSE)</f>
        <v>57.6</v>
      </c>
      <c r="E38">
        <f>VLOOKUP('master table'!B38,Table3[#All], 2,FALSE)</f>
        <v>11.5</v>
      </c>
      <c r="F38">
        <f>VLOOKUP('master table'!B38,Table4[#All], 2,FALSE)</f>
        <v>0.93</v>
      </c>
      <c r="G38">
        <f>VLOOKUP('master table'!B38,Table5[#All], 2,FALSE)</f>
        <v>-0.32</v>
      </c>
      <c r="H38">
        <f>VLOOKUP('master table'!B38,Table6[#All], 2,FALSE)</f>
        <v>43</v>
      </c>
      <c r="I38">
        <f>VLOOKUP('master table'!B38,Table7[#All], 2,FALSE)</f>
        <v>49.9</v>
      </c>
      <c r="J38">
        <f>VLOOKUP('master table'!B38,Table8[#All], 2,FALSE)</f>
        <v>78.3</v>
      </c>
      <c r="K38">
        <f>VLOOKUP('master table'!B38,Table9[#All], 2,FALSE)</f>
        <v>180.76</v>
      </c>
      <c r="L38">
        <f>VLOOKUP('master table'!B38,Table9[#All], 3,FALSE)</f>
        <v>166.8</v>
      </c>
      <c r="M38">
        <f>VLOOKUP('master table'!B38,Table10[#All], 2,FALSE)</f>
        <v>29207</v>
      </c>
    </row>
    <row r="39" spans="2:13" x14ac:dyDescent="0.2">
      <c r="B39" t="s">
        <v>85</v>
      </c>
      <c r="C39">
        <f>VLOOKUP('master table'!B39,Table1[#All], 2,FALSE)</f>
        <v>1.6</v>
      </c>
      <c r="D39">
        <f>VLOOKUP('master table'!B39,Table2[#All], 2,FALSE)</f>
        <v>77.2</v>
      </c>
      <c r="E39">
        <f>VLOOKUP('master table'!B39,Table3[#All], 2,FALSE)</f>
        <v>10.1</v>
      </c>
      <c r="F39">
        <f>VLOOKUP('master table'!B39,Table4[#All], 2,FALSE)</f>
        <v>0.99</v>
      </c>
      <c r="G39">
        <f>VLOOKUP('master table'!B39,Table5[#All], 2,FALSE)</f>
        <v>-0.05</v>
      </c>
      <c r="H39">
        <f>VLOOKUP('master table'!B39,Table6[#All], 2,FALSE)</f>
        <v>41.5</v>
      </c>
      <c r="I39">
        <f>VLOOKUP('master table'!B39,Table7[#All], 2,FALSE)</f>
        <v>32.200000000000003</v>
      </c>
      <c r="J39">
        <f>VLOOKUP('master table'!B39,Table8[#All], 2,FALSE)</f>
        <v>78.599999999999994</v>
      </c>
      <c r="K39">
        <f>VLOOKUP('master table'!B39,Table9[#All], 2,FALSE)</f>
        <v>173.56</v>
      </c>
      <c r="L39">
        <f>VLOOKUP('master table'!B39,Table9[#All], 3,FALSE)</f>
        <v>160.13</v>
      </c>
      <c r="M39">
        <f>VLOOKUP('master table'!B39,Table10[#All], 2,FALSE)</f>
        <v>8822</v>
      </c>
    </row>
    <row r="40" spans="2:13" x14ac:dyDescent="0.2">
      <c r="B40" t="s">
        <v>89</v>
      </c>
      <c r="C40">
        <f>VLOOKUP('master table'!B40,Table1[#All], 2,FALSE)</f>
        <v>1.3</v>
      </c>
      <c r="D40">
        <f>VLOOKUP('master table'!B40,Table2[#All], 2,FALSE)</f>
        <v>66.8</v>
      </c>
      <c r="E40">
        <f>VLOOKUP('master table'!B40,Table3[#All], 2,FALSE)</f>
        <v>4.5</v>
      </c>
      <c r="F40">
        <f>VLOOKUP('master table'!B40,Table4[#All], 2,FALSE)</f>
        <v>1.05</v>
      </c>
      <c r="G40">
        <f>VLOOKUP('master table'!B40,Table5[#All], 2,FALSE)</f>
        <v>1.1100000000000001</v>
      </c>
      <c r="H40">
        <f>VLOOKUP('master table'!B40,Table6[#All], 2,FALSE)</f>
        <v>36.799999999999997</v>
      </c>
      <c r="I40">
        <f>VLOOKUP('master table'!B40,Table7[#All], 2,FALSE)</f>
        <v>131.30000000000001</v>
      </c>
      <c r="J40">
        <f>VLOOKUP('master table'!B40,Table8[#All], 2,FALSE)</f>
        <v>80.8</v>
      </c>
      <c r="K40">
        <f>VLOOKUP('master table'!B40,Table9[#All], 2,FALSE)</f>
        <v>172.75</v>
      </c>
      <c r="L40">
        <f>VLOOKUP('master table'!B40,Table9[#All], 3,FALSE)</f>
        <v>160.55000000000001</v>
      </c>
      <c r="M40">
        <f>VLOOKUP('master table'!B40,Table10[#All], 2,FALSE)</f>
        <v>42956</v>
      </c>
    </row>
    <row r="41" spans="2:13" x14ac:dyDescent="0.2">
      <c r="B41" t="s">
        <v>91</v>
      </c>
      <c r="C41">
        <f>VLOOKUP('master table'!B41,Table1[#All], 2,FALSE)</f>
        <v>1.7</v>
      </c>
      <c r="D41">
        <f>VLOOKUP('master table'!B41,Table2[#All], 2,FALSE)</f>
        <v>74.099999999999994</v>
      </c>
      <c r="E41">
        <f>VLOOKUP('master table'!B41,Table3[#All], 2,FALSE)</f>
        <v>10.5</v>
      </c>
      <c r="F41">
        <f>VLOOKUP('master table'!B41,Table4[#All], 2,FALSE)</f>
        <v>0.97</v>
      </c>
      <c r="G41">
        <f>VLOOKUP('master table'!B41,Table5[#All], 2,FALSE)</f>
        <v>0.18</v>
      </c>
      <c r="H41">
        <f>VLOOKUP('master table'!B41,Table6[#All], 2,FALSE)</f>
        <v>42.1</v>
      </c>
      <c r="I41">
        <f>VLOOKUP('master table'!B41,Table7[#All], 2,FALSE)</f>
        <v>77.3</v>
      </c>
      <c r="J41">
        <f>VLOOKUP('master table'!B41,Table8[#All], 2,FALSE)</f>
        <v>79.2</v>
      </c>
      <c r="K41">
        <f>VLOOKUP('master table'!B41,Table9[#All], 2,FALSE)</f>
        <v>181.19</v>
      </c>
      <c r="L41">
        <f>VLOOKUP('master table'!B41,Table9[#All], 3,FALSE)</f>
        <v>167.96</v>
      </c>
      <c r="M41">
        <f>VLOOKUP('master table'!B41,Table10[#All], 2,FALSE)</f>
        <v>40585</v>
      </c>
    </row>
    <row r="42" spans="2:13" x14ac:dyDescent="0.2">
      <c r="B42" t="s">
        <v>95</v>
      </c>
      <c r="C42">
        <f>VLOOKUP('master table'!B42,Table1[#All], 2,FALSE)</f>
        <v>1.7</v>
      </c>
      <c r="D42">
        <f>VLOOKUP('master table'!B42,Table2[#All], 2,FALSE)</f>
        <v>88.1</v>
      </c>
      <c r="E42">
        <f>VLOOKUP('master table'!B42,Table3[#All], 2,FALSE)</f>
        <v>9.1999999999999993</v>
      </c>
      <c r="F42">
        <f>VLOOKUP('master table'!B42,Table4[#All], 2,FALSE)</f>
        <v>0.99</v>
      </c>
      <c r="G42">
        <f>VLOOKUP('master table'!B42,Table5[#All], 2,FALSE)</f>
        <v>0.36</v>
      </c>
      <c r="H42">
        <f>VLOOKUP('master table'!B42,Table6[#All], 2,FALSE)</f>
        <v>42.2</v>
      </c>
      <c r="I42">
        <f>VLOOKUP('master table'!B42,Table7[#All], 2,FALSE)</f>
        <v>145.9</v>
      </c>
      <c r="J42">
        <f>VLOOKUP('master table'!B42,Table8[#All], 2,FALSE)</f>
        <v>80.8</v>
      </c>
      <c r="K42">
        <f>VLOOKUP('master table'!B42,Table9[#All], 2,FALSE)</f>
        <v>181.89</v>
      </c>
      <c r="L42">
        <f>VLOOKUP('master table'!B42,Table9[#All], 3,FALSE)</f>
        <v>169.47</v>
      </c>
      <c r="M42">
        <f>VLOOKUP('master table'!B42,Table10[#All], 2,FALSE)</f>
        <v>55675</v>
      </c>
    </row>
    <row r="43" spans="2:13" x14ac:dyDescent="0.2">
      <c r="B43" t="s">
        <v>97</v>
      </c>
      <c r="C43">
        <f>VLOOKUP('master table'!B43,Table1[#All], 2,FALSE)</f>
        <v>2.7</v>
      </c>
      <c r="D43">
        <f>VLOOKUP('master table'!B43,Table2[#All], 2,FALSE)</f>
        <v>78.099999999999994</v>
      </c>
      <c r="E43">
        <f>VLOOKUP('master table'!B43,Table3[#All], 2,FALSE)</f>
        <v>8.5</v>
      </c>
      <c r="F43">
        <f>VLOOKUP('master table'!B43,Table4[#All], 2,FALSE)</f>
        <v>0.83</v>
      </c>
      <c r="G43">
        <f>VLOOKUP('master table'!B43,Table5[#All], 2,FALSE)</f>
        <v>1.52</v>
      </c>
      <c r="H43">
        <f>VLOOKUP('master table'!B43,Table6[#All], 2,FALSE)</f>
        <v>23.9</v>
      </c>
      <c r="I43">
        <f>VLOOKUP('master table'!B43,Table7[#All], 2,FALSE)</f>
        <v>17.100000000000001</v>
      </c>
      <c r="J43">
        <f>VLOOKUP('master table'!B43,Table8[#All], 2,FALSE)</f>
        <v>66.599999999999994</v>
      </c>
      <c r="K43">
        <f>VLOOKUP('master table'!B43,Table9[#All], 2,FALSE)</f>
        <v>170.77</v>
      </c>
      <c r="L43">
        <f>VLOOKUP('master table'!B43,Table9[#All], 3,FALSE)</f>
        <v>159.82</v>
      </c>
      <c r="M43">
        <f>VLOOKUP('master table'!B43,Table10[#All], 2,FALSE)</f>
        <v>5855</v>
      </c>
    </row>
    <row r="44" spans="2:13" x14ac:dyDescent="0.2">
      <c r="B44" t="s">
        <v>101</v>
      </c>
      <c r="C44">
        <f>VLOOKUP('master table'!B44,Table1[#All], 2,FALSE)</f>
        <v>2.2999999999999998</v>
      </c>
      <c r="D44">
        <f>VLOOKUP('master table'!B44,Table2[#All], 2,FALSE)</f>
        <v>82.5</v>
      </c>
      <c r="E44">
        <f>VLOOKUP('master table'!B44,Table3[#All], 2,FALSE)</f>
        <v>10.5</v>
      </c>
      <c r="F44">
        <f>VLOOKUP('master table'!B44,Table4[#All], 2,FALSE)</f>
        <v>1.02</v>
      </c>
      <c r="G44">
        <f>VLOOKUP('master table'!B44,Table5[#All], 2,FALSE)</f>
        <v>1.26</v>
      </c>
      <c r="H44">
        <f>VLOOKUP('master table'!B44,Table6[#All], 2,FALSE)</f>
        <v>28.1</v>
      </c>
      <c r="I44">
        <f>VLOOKUP('master table'!B44,Table7[#All], 2,FALSE)</f>
        <v>37.799999999999997</v>
      </c>
      <c r="J44">
        <f>VLOOKUP('master table'!B44,Table8[#All], 2,FALSE)</f>
        <v>73.900000000000006</v>
      </c>
      <c r="K44">
        <f>VLOOKUP('master table'!B44,Table9[#All], 2,FALSE)</f>
        <v>174.65</v>
      </c>
      <c r="L44">
        <f>VLOOKUP('master table'!B44,Table9[#All], 3,FALSE)</f>
        <v>161.21</v>
      </c>
      <c r="M44">
        <f>VLOOKUP('master table'!B44,Table10[#All], 2,FALSE)</f>
        <v>20625</v>
      </c>
    </row>
    <row r="45" spans="2:13" x14ac:dyDescent="0.2">
      <c r="B45" t="s">
        <v>105</v>
      </c>
      <c r="C45">
        <f>VLOOKUP('master table'!B45,Table1[#All], 2,FALSE)</f>
        <v>2.4</v>
      </c>
      <c r="D45">
        <f>VLOOKUP('master table'!B45,Table2[#All], 2,FALSE)</f>
        <v>64.2</v>
      </c>
      <c r="E45">
        <f>VLOOKUP('master table'!B45,Table3[#All], 2,FALSE)</f>
        <v>7.2</v>
      </c>
      <c r="F45">
        <f>VLOOKUP('master table'!B45,Table4[#All], 2,FALSE)</f>
        <v>0.99</v>
      </c>
      <c r="G45">
        <f>VLOOKUP('master table'!B45,Table5[#All], 2,FALSE)</f>
        <v>1.6</v>
      </c>
      <c r="H45">
        <f>VLOOKUP('master table'!B45,Table6[#All], 2,FALSE)</f>
        <v>27.7</v>
      </c>
      <c r="I45">
        <f>VLOOKUP('master table'!B45,Table7[#All], 2,FALSE)</f>
        <v>45</v>
      </c>
      <c r="J45">
        <f>VLOOKUP('master table'!B45,Table8[#All], 2,FALSE)</f>
        <v>76.8</v>
      </c>
      <c r="K45">
        <f>VLOOKUP('master table'!B45,Table9[#All], 2,FALSE)</f>
        <v>167.32</v>
      </c>
      <c r="L45">
        <f>VLOOKUP('master table'!B45,Table9[#All], 3,FALSE)</f>
        <v>155.25</v>
      </c>
      <c r="M45">
        <f>VLOOKUP('master table'!B45,Table10[#All], 2,FALSE)</f>
        <v>11866</v>
      </c>
    </row>
    <row r="46" spans="2:13" x14ac:dyDescent="0.2">
      <c r="B46" t="s">
        <v>107</v>
      </c>
      <c r="C46">
        <f>VLOOKUP('master table'!B46,Table1[#All], 2,FALSE)</f>
        <v>3.3</v>
      </c>
      <c r="D46">
        <f>VLOOKUP('master table'!B46,Table2[#All], 2,FALSE)</f>
        <v>42.8</v>
      </c>
      <c r="E46">
        <f>VLOOKUP('master table'!B46,Table3[#All], 2,FALSE)</f>
        <v>4.4000000000000004</v>
      </c>
      <c r="F46">
        <f>VLOOKUP('master table'!B46,Table4[#All], 2,FALSE)</f>
        <v>1.05</v>
      </c>
      <c r="G46">
        <f>VLOOKUP('master table'!B46,Table5[#All], 2,FALSE)</f>
        <v>1.66</v>
      </c>
      <c r="H46">
        <f>VLOOKUP('master table'!B46,Table6[#All], 2,FALSE)</f>
        <v>23.9</v>
      </c>
      <c r="I46">
        <f>VLOOKUP('master table'!B46,Table7[#All], 2,FALSE)</f>
        <v>22.5</v>
      </c>
      <c r="J46">
        <f>VLOOKUP('master table'!B46,Table8[#All], 2,FALSE)</f>
        <v>71.8</v>
      </c>
      <c r="K46">
        <f>VLOOKUP('master table'!B46,Table9[#All], 2,FALSE)</f>
        <v>174.57</v>
      </c>
      <c r="L46">
        <f>VLOOKUP('master table'!B46,Table9[#All], 3,FALSE)</f>
        <v>160.88</v>
      </c>
      <c r="M46">
        <f>VLOOKUP('master table'!B46,Table10[#All], 2,FALSE)</f>
        <v>14800</v>
      </c>
    </row>
    <row r="47" spans="2:13" x14ac:dyDescent="0.2">
      <c r="B47" t="s">
        <v>109</v>
      </c>
      <c r="C47">
        <f>VLOOKUP('master table'!B47,Table1[#All], 2,FALSE)</f>
        <v>2</v>
      </c>
      <c r="D47">
        <f>VLOOKUP('master table'!B47,Table2[#All], 2,FALSE)</f>
        <v>73.400000000000006</v>
      </c>
      <c r="E47">
        <f>VLOOKUP('master table'!B47,Table3[#All], 2,FALSE)</f>
        <v>13.5</v>
      </c>
      <c r="F47">
        <f>VLOOKUP('master table'!B47,Table4[#All], 2,FALSE)</f>
        <v>0.92</v>
      </c>
      <c r="G47">
        <f>VLOOKUP('master table'!B47,Table5[#All], 2,FALSE)</f>
        <v>0.66</v>
      </c>
      <c r="H47">
        <f>VLOOKUP('master table'!B47,Table6[#All], 2,FALSE)</f>
        <v>27.1</v>
      </c>
      <c r="I47">
        <f>VLOOKUP('master table'!B47,Table7[#All], 2,FALSE)</f>
        <v>21.4</v>
      </c>
      <c r="J47">
        <f>VLOOKUP('master table'!B47,Table8[#All], 2,FALSE)</f>
        <v>73.099999999999994</v>
      </c>
      <c r="K47">
        <f>VLOOKUP('master table'!B47,Table9[#All], 2,FALSE)</f>
        <v>170.67</v>
      </c>
      <c r="L47">
        <f>VLOOKUP('master table'!B47,Table9[#All], 3,FALSE)</f>
        <v>156.38999999999999</v>
      </c>
      <c r="M47">
        <f>VLOOKUP('master table'!B47,Table10[#All], 2,FALSE)</f>
        <v>8593</v>
      </c>
    </row>
    <row r="48" spans="2:13" x14ac:dyDescent="0.2">
      <c r="B48" t="s">
        <v>113</v>
      </c>
      <c r="C48">
        <f>VLOOKUP('master table'!B48,Table1[#All], 2,FALSE)</f>
        <v>4.0999999999999996</v>
      </c>
      <c r="D48">
        <f>VLOOKUP('master table'!B48,Table2[#All], 2,FALSE)</f>
        <v>41.3</v>
      </c>
      <c r="E48">
        <f>VLOOKUP('master table'!B48,Table3[#All], 2,FALSE)</f>
        <v>13.8</v>
      </c>
      <c r="F48">
        <f>VLOOKUP('master table'!B48,Table4[#All], 2,FALSE)</f>
        <v>0.97</v>
      </c>
      <c r="G48">
        <f>VLOOKUP('master table'!B48,Table5[#All], 2,FALSE)</f>
        <v>3.28</v>
      </c>
      <c r="H48">
        <f>VLOOKUP('master table'!B48,Table6[#All], 2,FALSE)</f>
        <v>19.7</v>
      </c>
      <c r="I48">
        <f>VLOOKUP('master table'!B48,Table7[#All], 2,FALSE)</f>
        <v>7.7</v>
      </c>
      <c r="J48">
        <f>VLOOKUP('master table'!B48,Table8[#All], 2,FALSE)</f>
        <v>65.900000000000006</v>
      </c>
      <c r="K48">
        <f>VLOOKUP('master table'!B48,Table9[#All], 2,FALSE)</f>
        <v>170.6</v>
      </c>
      <c r="L48">
        <f>VLOOKUP('master table'!B48,Table9[#All], 3,FALSE)</f>
        <v>157.58000000000001</v>
      </c>
      <c r="M48">
        <f>VLOOKUP('master table'!B48,Table10[#All], 2,FALSE)</f>
        <v>1103</v>
      </c>
    </row>
    <row r="49" spans="2:13" x14ac:dyDescent="0.2">
      <c r="B49" t="s">
        <v>115</v>
      </c>
      <c r="C49">
        <f>VLOOKUP('master table'!B49,Table1[#All], 2,FALSE)</f>
        <v>1.7</v>
      </c>
      <c r="D49">
        <f>VLOOKUP('master table'!B49,Table2[#All], 2,FALSE)</f>
        <v>69.2</v>
      </c>
      <c r="E49">
        <f>VLOOKUP('master table'!B49,Table3[#All], 2,FALSE)</f>
        <v>14.4</v>
      </c>
      <c r="F49">
        <f>VLOOKUP('master table'!B49,Table4[#All], 2,FALSE)</f>
        <v>0.88</v>
      </c>
      <c r="G49">
        <f>VLOOKUP('master table'!B49,Table5[#All], 2,FALSE)</f>
        <v>-0.04</v>
      </c>
      <c r="H49">
        <f>VLOOKUP('master table'!B49,Table6[#All], 2,FALSE)</f>
        <v>42.7</v>
      </c>
      <c r="I49">
        <f>VLOOKUP('master table'!B49,Table7[#All], 2,FALSE)</f>
        <v>67.400000000000006</v>
      </c>
      <c r="J49">
        <f>VLOOKUP('master table'!B49,Table8[#All], 2,FALSE)</f>
        <v>78.599999999999994</v>
      </c>
      <c r="K49">
        <f>VLOOKUP('master table'!B49,Table9[#All], 2,FALSE)</f>
        <v>182.79</v>
      </c>
      <c r="L49">
        <f>VLOOKUP('master table'!B49,Table9[#All], 3,FALSE)</f>
        <v>168.66</v>
      </c>
      <c r="M49">
        <f>VLOOKUP('master table'!B49,Table10[#All], 2,FALSE)</f>
        <v>37606</v>
      </c>
    </row>
    <row r="50" spans="2:13" x14ac:dyDescent="0.2">
      <c r="B50" t="s">
        <v>119</v>
      </c>
      <c r="C50">
        <f>VLOOKUP('master table'!B50,Table1[#All], 2,FALSE)</f>
        <v>4.2</v>
      </c>
      <c r="D50">
        <f>VLOOKUP('master table'!B50,Table2[#All], 2,FALSE)</f>
        <v>21.7</v>
      </c>
      <c r="E50">
        <f>VLOOKUP('master table'!B50,Table3[#All], 2,FALSE)</f>
        <v>11.4</v>
      </c>
      <c r="F50">
        <f>VLOOKUP('master table'!B50,Table4[#All], 2,FALSE)</f>
        <v>1</v>
      </c>
      <c r="G50">
        <f>VLOOKUP('master table'!B50,Table5[#All], 2,FALSE)</f>
        <v>2.58</v>
      </c>
      <c r="H50">
        <f>VLOOKUP('master table'!B50,Table6[#All], 2,FALSE)</f>
        <v>17.899999999999999</v>
      </c>
      <c r="I50">
        <f>VLOOKUP('master table'!B50,Table7[#All], 2,FALSE)</f>
        <v>7.9</v>
      </c>
      <c r="J50">
        <f>VLOOKUP('master table'!B50,Table8[#All], 2,FALSE)</f>
        <v>66.2</v>
      </c>
      <c r="K50">
        <f>VLOOKUP('master table'!B50,Table9[#All], 2,FALSE)</f>
        <v>168.84</v>
      </c>
      <c r="L50">
        <f>VLOOKUP('master table'!B50,Table9[#All], 3,FALSE)</f>
        <v>157.15</v>
      </c>
      <c r="M50">
        <f>VLOOKUP('master table'!B50,Table10[#All], 2,FALSE)</f>
        <v>2702</v>
      </c>
    </row>
    <row r="51" spans="2:13" x14ac:dyDescent="0.2">
      <c r="B51" t="s">
        <v>123</v>
      </c>
      <c r="C51">
        <f>VLOOKUP('master table'!B51,Table1[#All], 2,FALSE)</f>
        <v>2.8</v>
      </c>
      <c r="D51">
        <f>VLOOKUP('master table'!B51,Table2[#All], 2,FALSE)</f>
        <v>57.2</v>
      </c>
      <c r="E51">
        <f>VLOOKUP('master table'!B51,Table3[#All], 2,FALSE)</f>
        <v>5.5</v>
      </c>
      <c r="F51">
        <f>VLOOKUP('master table'!B51,Table4[#All], 2,FALSE)</f>
        <v>1.03</v>
      </c>
      <c r="G51">
        <f>VLOOKUP('master table'!B51,Table5[#All], 2,FALSE)</f>
        <v>0.78</v>
      </c>
      <c r="H51">
        <f>VLOOKUP('master table'!B51,Table6[#All], 2,FALSE)</f>
        <v>28.9</v>
      </c>
      <c r="I51">
        <f>VLOOKUP('master table'!B51,Table7[#All], 2,FALSE)</f>
        <v>39.1</v>
      </c>
      <c r="J51">
        <f>VLOOKUP('master table'!B51,Table8[#All], 2,FALSE)</f>
        <v>67.3</v>
      </c>
      <c r="K51">
        <f>VLOOKUP('master table'!B51,Table9[#All], 2,FALSE)</f>
        <v>173.98</v>
      </c>
      <c r="L51">
        <f>VLOOKUP('master table'!B51,Table9[#All], 3,FALSE)</f>
        <v>164.28</v>
      </c>
      <c r="M51">
        <f>VLOOKUP('master table'!B51,Table10[#All], 2,FALSE)</f>
        <v>12689</v>
      </c>
    </row>
    <row r="52" spans="2:13" x14ac:dyDescent="0.2">
      <c r="B52" t="s">
        <v>125</v>
      </c>
      <c r="C52">
        <f>VLOOKUP('master table'!B52,Table1[#All], 2,FALSE)</f>
        <v>1.4</v>
      </c>
      <c r="D52">
        <f>VLOOKUP('master table'!B52,Table2[#All], 2,FALSE)</f>
        <v>85.5</v>
      </c>
      <c r="E52">
        <f>VLOOKUP('master table'!B52,Table3[#All], 2,FALSE)</f>
        <v>11.7</v>
      </c>
      <c r="F52">
        <f>VLOOKUP('master table'!B52,Table4[#All], 2,FALSE)</f>
        <v>0.97</v>
      </c>
      <c r="G52">
        <f>VLOOKUP('master table'!B52,Table5[#All], 2,FALSE)</f>
        <v>0.48</v>
      </c>
      <c r="H52">
        <f>VLOOKUP('master table'!B52,Table6[#All], 2,FALSE)</f>
        <v>42.5</v>
      </c>
      <c r="I52">
        <f>VLOOKUP('master table'!B52,Table7[#All], 2,FALSE)</f>
        <v>67.400000000000006</v>
      </c>
      <c r="J52">
        <f>VLOOKUP('master table'!B52,Table8[#All], 2,FALSE)</f>
        <v>81.7</v>
      </c>
      <c r="K52">
        <f>VLOOKUP('master table'!B52,Table9[#All], 2,FALSE)</f>
        <v>180.57</v>
      </c>
      <c r="L52">
        <f>VLOOKUP('master table'!B52,Table9[#All], 3,FALSE)</f>
        <v>166.48</v>
      </c>
      <c r="M52">
        <f>VLOOKUP('master table'!B52,Table10[#All], 2,FALSE)</f>
        <v>49548</v>
      </c>
    </row>
    <row r="53" spans="2:13" x14ac:dyDescent="0.2">
      <c r="B53" t="s">
        <v>127</v>
      </c>
      <c r="C53">
        <f>VLOOKUP('master table'!B53,Table1[#All], 2,FALSE)</f>
        <v>1.9</v>
      </c>
      <c r="D53">
        <f>VLOOKUP('master table'!B53,Table2[#All], 2,FALSE)</f>
        <v>81</v>
      </c>
      <c r="E53">
        <f>VLOOKUP('master table'!B53,Table3[#All], 2,FALSE)</f>
        <v>12.1</v>
      </c>
      <c r="F53">
        <f>VLOOKUP('master table'!B53,Table4[#All], 2,FALSE)</f>
        <v>0.96</v>
      </c>
      <c r="G53">
        <f>VLOOKUP('master table'!B53,Table5[#All], 2,FALSE)</f>
        <v>0.5</v>
      </c>
      <c r="H53">
        <f>VLOOKUP('master table'!B53,Table6[#All], 2,FALSE)</f>
        <v>41.4</v>
      </c>
      <c r="I53">
        <f>VLOOKUP('master table'!B53,Table7[#All], 2,FALSE)</f>
        <v>101.1</v>
      </c>
      <c r="J53">
        <f>VLOOKUP('master table'!B53,Table8[#All], 2,FALSE)</f>
        <v>82.5</v>
      </c>
      <c r="K53">
        <f>VLOOKUP('master table'!B53,Table9[#All], 2,FALSE)</f>
        <v>178.6</v>
      </c>
      <c r="L53">
        <f>VLOOKUP('master table'!B53,Table9[#All], 3,FALSE)</f>
        <v>164.49</v>
      </c>
      <c r="M53">
        <f>VLOOKUP('master table'!B53,Table10[#All], 2,FALSE)</f>
        <v>48640</v>
      </c>
    </row>
    <row r="54" spans="2:13" x14ac:dyDescent="0.2">
      <c r="B54" t="s">
        <v>131</v>
      </c>
      <c r="C54">
        <f>VLOOKUP('master table'!B54,Table1[#All], 2,FALSE)</f>
        <v>4</v>
      </c>
      <c r="D54">
        <f>VLOOKUP('master table'!B54,Table2[#All], 2,FALSE)</f>
        <v>90.1</v>
      </c>
      <c r="E54">
        <f>VLOOKUP('master table'!B54,Table3[#All], 2,FALSE)</f>
        <v>9.6</v>
      </c>
      <c r="F54">
        <f>VLOOKUP('master table'!B54,Table4[#All], 2,FALSE)</f>
        <v>1.08</v>
      </c>
      <c r="G54">
        <f>VLOOKUP('master table'!B54,Table5[#All], 2,FALSE)</f>
        <v>2.39</v>
      </c>
      <c r="H54">
        <f>VLOOKUP('master table'!B54,Table6[#All], 2,FALSE)</f>
        <v>18.600000000000001</v>
      </c>
      <c r="I54">
        <f>VLOOKUP('master table'!B54,Table7[#All], 2,FALSE)</f>
        <v>46</v>
      </c>
      <c r="J54">
        <f>VLOOKUP('master table'!B54,Table8[#All], 2,FALSE)</f>
        <v>66.2</v>
      </c>
      <c r="K54">
        <f>VLOOKUP('master table'!B54,Table9[#All], 2,FALSE)</f>
        <v>170.48</v>
      </c>
      <c r="L54">
        <f>VLOOKUP('master table'!B54,Table9[#All], 3,FALSE)</f>
        <v>160.05000000000001</v>
      </c>
      <c r="M54">
        <f>VLOOKUP('master table'!B54,Table10[#All], 2,FALSE)</f>
        <v>19839</v>
      </c>
    </row>
    <row r="55" spans="2:13" x14ac:dyDescent="0.2">
      <c r="B55" t="s">
        <v>133</v>
      </c>
      <c r="C55">
        <f>VLOOKUP('master table'!B55,Table1[#All], 2,FALSE)</f>
        <v>2.1</v>
      </c>
      <c r="D55">
        <f>VLOOKUP('master table'!B55,Table2[#All], 2,FALSE)</f>
        <v>59.5</v>
      </c>
      <c r="E55">
        <f>VLOOKUP('master table'!B55,Table3[#All], 2,FALSE)</f>
        <v>6.7</v>
      </c>
      <c r="F55">
        <f>VLOOKUP('master table'!B55,Table4[#All], 2,FALSE)</f>
        <v>0.92</v>
      </c>
      <c r="G55">
        <f>VLOOKUP('master table'!B55,Table5[#All], 2,FALSE)</f>
        <v>0.63</v>
      </c>
      <c r="H55">
        <f>VLOOKUP('master table'!B55,Table6[#All], 2,FALSE)</f>
        <v>38.1</v>
      </c>
      <c r="I55">
        <f>VLOOKUP('master table'!B55,Table7[#All], 2,FALSE)</f>
        <v>26</v>
      </c>
      <c r="J55">
        <f>VLOOKUP('master table'!B55,Table8[#All], 2,FALSE)</f>
        <v>73.599999999999994</v>
      </c>
      <c r="K55">
        <f>VLOOKUP('master table'!B55,Table9[#All], 2,FALSE)</f>
        <v>175.98</v>
      </c>
      <c r="L55">
        <f>VLOOKUP('master table'!B55,Table9[#All], 3,FALSE)</f>
        <v>163.24</v>
      </c>
      <c r="M55">
        <f>VLOOKUP('master table'!B55,Table10[#All], 2,FALSE)</f>
        <v>13200</v>
      </c>
    </row>
    <row r="56" spans="2:13" x14ac:dyDescent="0.2">
      <c r="B56" t="s">
        <v>135</v>
      </c>
      <c r="C56">
        <f>VLOOKUP('master table'!B56,Table1[#All], 2,FALSE)</f>
        <v>1.6</v>
      </c>
      <c r="D56">
        <f>VLOOKUP('master table'!B56,Table2[#All], 2,FALSE)</f>
        <v>77.5</v>
      </c>
      <c r="E56">
        <f>VLOOKUP('master table'!B56,Table3[#All], 2,FALSE)</f>
        <v>9.1</v>
      </c>
      <c r="F56">
        <f>VLOOKUP('master table'!B56,Table4[#All], 2,FALSE)</f>
        <v>0.96</v>
      </c>
      <c r="G56">
        <f>VLOOKUP('master table'!B56,Table5[#All], 2,FALSE)</f>
        <v>0.11</v>
      </c>
      <c r="H56">
        <f>VLOOKUP('master table'!B56,Table6[#All], 2,FALSE)</f>
        <v>47.1</v>
      </c>
      <c r="I56">
        <f>VLOOKUP('master table'!B56,Table7[#All], 2,FALSE)</f>
        <v>82.1</v>
      </c>
      <c r="J56">
        <f>VLOOKUP('master table'!B56,Table8[#All], 2,FALSE)</f>
        <v>81.2</v>
      </c>
      <c r="K56">
        <f>VLOOKUP('master table'!B56,Table9[#All], 2,FALSE)</f>
        <v>180.28</v>
      </c>
      <c r="L56">
        <f>VLOOKUP('master table'!B56,Table9[#All], 3,FALSE)</f>
        <v>166.18</v>
      </c>
      <c r="M56">
        <f>VLOOKUP('master table'!B56,Table10[#All], 2,FALSE)</f>
        <v>55306</v>
      </c>
    </row>
    <row r="57" spans="2:13" x14ac:dyDescent="0.2">
      <c r="B57" t="s">
        <v>137</v>
      </c>
      <c r="C57">
        <f>VLOOKUP('master table'!B57,Table1[#All], 2,FALSE)</f>
        <v>3.9</v>
      </c>
      <c r="D57">
        <f>VLOOKUP('master table'!B57,Table2[#All], 2,FALSE)</f>
        <v>57.3</v>
      </c>
      <c r="E57">
        <f>VLOOKUP('master table'!B57,Table3[#All], 2,FALSE)</f>
        <v>8.6999999999999993</v>
      </c>
      <c r="F57">
        <f>VLOOKUP('master table'!B57,Table4[#All], 2,FALSE)</f>
        <v>0.97</v>
      </c>
      <c r="G57">
        <f>VLOOKUP('master table'!B57,Table5[#All], 2,FALSE)</f>
        <v>2.17</v>
      </c>
      <c r="H57">
        <f>VLOOKUP('master table'!B57,Table6[#All], 2,FALSE)</f>
        <v>21.1</v>
      </c>
      <c r="I57">
        <f>VLOOKUP('master table'!B57,Table7[#All], 2,FALSE)</f>
        <v>9.9</v>
      </c>
      <c r="J57">
        <f>VLOOKUP('master table'!B57,Table8[#All], 2,FALSE)</f>
        <v>63.8</v>
      </c>
      <c r="K57">
        <f>VLOOKUP('master table'!B57,Table9[#All], 2,FALSE)</f>
        <v>170.3</v>
      </c>
      <c r="L57">
        <f>VLOOKUP('master table'!B57,Table9[#All], 3,FALSE)</f>
        <v>158.86000000000001</v>
      </c>
      <c r="M57">
        <f>VLOOKUP('master table'!B57,Table10[#All], 2,FALSE)</f>
        <v>7343</v>
      </c>
    </row>
    <row r="58" spans="2:13" x14ac:dyDescent="0.2">
      <c r="B58" t="s">
        <v>139</v>
      </c>
      <c r="C58">
        <f>VLOOKUP('master table'!B58,Table1[#All], 2,FALSE)</f>
        <v>1.4</v>
      </c>
      <c r="D58">
        <f>VLOOKUP('master table'!B58,Table2[#All], 2,FALSE)</f>
        <v>79.7</v>
      </c>
      <c r="E58">
        <f>VLOOKUP('master table'!B58,Table3[#All], 2,FALSE)</f>
        <v>3.8</v>
      </c>
      <c r="F58">
        <f>VLOOKUP('master table'!B58,Table4[#All], 2,FALSE)</f>
        <v>0.95</v>
      </c>
      <c r="G58">
        <f>VLOOKUP('master table'!B58,Table5[#All], 2,FALSE)</f>
        <v>-0.18</v>
      </c>
      <c r="H58">
        <f>VLOOKUP('master table'!B58,Table6[#All], 2,FALSE)</f>
        <v>44.5</v>
      </c>
      <c r="I58">
        <f>VLOOKUP('master table'!B58,Table7[#All], 2,FALSE)</f>
        <v>78.7</v>
      </c>
      <c r="J58">
        <f>VLOOKUP('master table'!B58,Table8[#All], 2,FALSE)</f>
        <v>82.1</v>
      </c>
      <c r="K58">
        <f>VLOOKUP('master table'!B58,Table9[#All], 2,FALSE)</f>
        <v>179.26</v>
      </c>
      <c r="L58">
        <f>VLOOKUP('master table'!B58,Table9[#All], 3,FALSE)</f>
        <v>165.81</v>
      </c>
      <c r="M58">
        <f>VLOOKUP('master table'!B58,Table10[#All], 2,FALSE)</f>
        <v>31616</v>
      </c>
    </row>
    <row r="59" spans="2:13" x14ac:dyDescent="0.2">
      <c r="B59" t="s">
        <v>141</v>
      </c>
      <c r="C59">
        <f>VLOOKUP('master table'!B59,Table1[#All], 2,FALSE)</f>
        <v>2</v>
      </c>
      <c r="D59">
        <f>VLOOKUP('master table'!B59,Table2[#All], 2,FALSE)</f>
        <v>87.3</v>
      </c>
      <c r="E59">
        <f>VLOOKUP('master table'!B59,Table3[#All], 2,FALSE)</f>
        <v>11.3</v>
      </c>
      <c r="F59">
        <f>VLOOKUP('master table'!B59,Table4[#All], 2,FALSE)</f>
        <v>1.08</v>
      </c>
      <c r="G59">
        <f>VLOOKUP('master table'!B59,Table5[#All], 2,FALSE)</f>
        <v>-0.11</v>
      </c>
      <c r="H59">
        <f>VLOOKUP('master table'!B59,Table6[#All], 2,FALSE)</f>
        <v>33.9</v>
      </c>
      <c r="I59">
        <f>VLOOKUP('master table'!B59,Table7[#All], 2,FALSE)</f>
        <v>63.4</v>
      </c>
      <c r="J59">
        <f>VLOOKUP('master table'!B59,Table8[#All], 2,FALSE)</f>
        <v>71.25</v>
      </c>
      <c r="K59">
        <f>VLOOKUP('master table'!B59,Table9[#All], 2,FALSE)</f>
        <v>173.84</v>
      </c>
      <c r="L59">
        <f>VLOOKUP('master table'!B59,Table9[#All], 3,FALSE)</f>
        <v>161.4</v>
      </c>
      <c r="M59">
        <f>VLOOKUP('master table'!B59,Table10[#All], 2,FALSE)</f>
        <v>48182</v>
      </c>
    </row>
    <row r="60" spans="2:13" x14ac:dyDescent="0.2">
      <c r="B60" t="s">
        <v>143</v>
      </c>
      <c r="C60">
        <f>VLOOKUP('master table'!B60,Table1[#All], 2,FALSE)</f>
        <v>2.1</v>
      </c>
      <c r="D60">
        <f>VLOOKUP('master table'!B60,Table2[#All], 2,FALSE)</f>
        <v>36.5</v>
      </c>
      <c r="E60">
        <f>VLOOKUP('master table'!B60,Table3[#All], 2,FALSE)</f>
        <v>1.7</v>
      </c>
      <c r="F60">
        <f>VLOOKUP('master table'!B60,Table4[#All], 2,FALSE)</f>
        <v>1.03</v>
      </c>
      <c r="G60">
        <f>VLOOKUP('master table'!B60,Table5[#All], 2,FALSE)</f>
        <v>0.39</v>
      </c>
      <c r="H60">
        <f>VLOOKUP('master table'!B60,Table6[#All], 2,FALSE)</f>
        <v>31.5</v>
      </c>
      <c r="I60">
        <f>VLOOKUP('master table'!B60,Table7[#All], 2,FALSE)</f>
        <v>97</v>
      </c>
      <c r="J60">
        <f>VLOOKUP('master table'!B60,Table8[#All], 2,FALSE)</f>
        <v>72.400000000000006</v>
      </c>
      <c r="K60">
        <f>VLOOKUP('master table'!B60,Table9[#All], 2,FALSE)</f>
        <v>178.7</v>
      </c>
      <c r="L60">
        <f>VLOOKUP('master table'!B60,Table9[#All], 3,FALSE)</f>
        <v>165.99</v>
      </c>
      <c r="M60">
        <f>VLOOKUP('master table'!B60,Table10[#All], 2,FALSE)</f>
        <v>17434</v>
      </c>
    </row>
    <row r="61" spans="2:13" x14ac:dyDescent="0.2">
      <c r="B61" t="s">
        <v>147</v>
      </c>
      <c r="C61">
        <f>VLOOKUP('master table'!B61,Table1[#All], 2,FALSE)</f>
        <v>2.9</v>
      </c>
      <c r="D61">
        <f>VLOOKUP('master table'!B61,Table2[#All], 2,FALSE)</f>
        <v>51.8</v>
      </c>
      <c r="E61">
        <f>VLOOKUP('master table'!B61,Table3[#All], 2,FALSE)</f>
        <v>2.9</v>
      </c>
      <c r="F61">
        <f>VLOOKUP('master table'!B61,Table4[#All], 2,FALSE)</f>
        <v>0.99</v>
      </c>
      <c r="G61">
        <f>VLOOKUP('master table'!B61,Table5[#All], 2,FALSE)</f>
        <v>2.5299999999999998</v>
      </c>
      <c r="H61">
        <f>VLOOKUP('master table'!B61,Table6[#All], 2,FALSE)</f>
        <v>22.1</v>
      </c>
      <c r="I61">
        <f>VLOOKUP('master table'!B61,Table7[#All], 2,FALSE)</f>
        <v>23.8</v>
      </c>
      <c r="J61">
        <f>VLOOKUP('master table'!B61,Table8[#All], 2,FALSE)</f>
        <v>74.099999999999994</v>
      </c>
      <c r="K61">
        <f>VLOOKUP('master table'!B61,Table9[#All], 2,FALSE)</f>
        <v>164.36</v>
      </c>
      <c r="L61">
        <f>VLOOKUP('master table'!B61,Table9[#All], 3,FALSE)</f>
        <v>150.91</v>
      </c>
      <c r="M61">
        <f>VLOOKUP('master table'!B61,Table10[#All], 2,FALSE)</f>
        <v>9009</v>
      </c>
    </row>
    <row r="62" spans="2:13" x14ac:dyDescent="0.2">
      <c r="B62" t="s">
        <v>149</v>
      </c>
      <c r="C62">
        <f>VLOOKUP('master table'!B62,Table1[#All], 2,FALSE)</f>
        <v>4.7</v>
      </c>
      <c r="D62">
        <f>VLOOKUP('master table'!B62,Table2[#All], 2,FALSE)</f>
        <v>44.2</v>
      </c>
      <c r="E62">
        <f>VLOOKUP('master table'!B62,Table3[#All], 2,FALSE)</f>
        <v>10.5</v>
      </c>
      <c r="F62">
        <f>VLOOKUP('master table'!B62,Table4[#All], 2,FALSE)</f>
        <v>1</v>
      </c>
      <c r="G62">
        <f>VLOOKUP('master table'!B62,Table5[#All], 2,FALSE)</f>
        <v>2.56</v>
      </c>
      <c r="H62">
        <f>VLOOKUP('master table'!B62,Table6[#All], 2,FALSE)</f>
        <v>20.100000000000001</v>
      </c>
      <c r="I62">
        <f>VLOOKUP('master table'!B62,Table7[#All], 2,FALSE)</f>
        <v>6.5</v>
      </c>
      <c r="J62">
        <f>VLOOKUP('master table'!B62,Table8[#All], 2,FALSE)</f>
        <v>61.2</v>
      </c>
      <c r="K62">
        <f>VLOOKUP('master table'!B62,Table9[#All], 2,FALSE)</f>
        <v>170.7</v>
      </c>
      <c r="L62">
        <f>VLOOKUP('master table'!B62,Table9[#All], 3,FALSE)</f>
        <v>158.75</v>
      </c>
      <c r="M62">
        <f>VLOOKUP('master table'!B62,Table10[#All], 2,FALSE)</f>
        <v>2574</v>
      </c>
    </row>
    <row r="63" spans="2:13" x14ac:dyDescent="0.2">
      <c r="B63" t="s">
        <v>151</v>
      </c>
      <c r="C63">
        <f>VLOOKUP('master table'!B63,Table1[#All], 2,FALSE)</f>
        <v>2.5</v>
      </c>
      <c r="D63">
        <f>VLOOKUP('master table'!B63,Table2[#All], 2,FALSE)</f>
        <v>26.8</v>
      </c>
      <c r="E63">
        <f>VLOOKUP('master table'!B63,Table3[#All], 2,FALSE)</f>
        <v>30.2</v>
      </c>
      <c r="F63">
        <f>VLOOKUP('master table'!B63,Table4[#All], 2,FALSE)</f>
        <v>1.02</v>
      </c>
      <c r="G63">
        <f>VLOOKUP('master table'!B63,Table5[#All], 2,FALSE)</f>
        <v>0.56999999999999995</v>
      </c>
      <c r="H63">
        <f>VLOOKUP('master table'!B63,Table6[#All], 2,FALSE)</f>
        <v>26.2</v>
      </c>
      <c r="I63">
        <f>VLOOKUP('master table'!B63,Table7[#All], 2,FALSE)</f>
        <v>31.8</v>
      </c>
      <c r="J63">
        <f>VLOOKUP('master table'!B63,Table8[#All], 2,FALSE)</f>
        <v>69.8</v>
      </c>
      <c r="K63">
        <f>VLOOKUP('master table'!B63,Table9[#All], 2,FALSE)</f>
        <v>172.15</v>
      </c>
      <c r="L63">
        <f>VLOOKUP('master table'!B63,Table9[#All], 3,FALSE)</f>
        <v>159.57</v>
      </c>
      <c r="M63">
        <f>VLOOKUP('master table'!B63,Table10[#All], 2,FALSE)</f>
        <v>17163</v>
      </c>
    </row>
    <row r="64" spans="2:13" x14ac:dyDescent="0.2">
      <c r="B64" t="s">
        <v>153</v>
      </c>
      <c r="C64">
        <f>VLOOKUP('master table'!B64,Table1[#All], 2,FALSE)</f>
        <v>2.9</v>
      </c>
      <c r="D64">
        <f>VLOOKUP('master table'!B64,Table2[#All], 2,FALSE)</f>
        <v>57.1</v>
      </c>
      <c r="E64">
        <f>VLOOKUP('master table'!B64,Table3[#All], 2,FALSE)</f>
        <v>12.2</v>
      </c>
      <c r="F64">
        <f>VLOOKUP('master table'!B64,Table4[#All], 2,FALSE)</f>
        <v>0.98</v>
      </c>
      <c r="G64">
        <f>VLOOKUP('master table'!B64,Table5[#All], 2,FALSE)</f>
        <v>1.39</v>
      </c>
      <c r="H64">
        <f>VLOOKUP('master table'!B64,Table6[#All], 2,FALSE)</f>
        <v>23</v>
      </c>
      <c r="I64">
        <f>VLOOKUP('master table'!B64,Table7[#All], 2,FALSE)</f>
        <v>15.3</v>
      </c>
      <c r="J64">
        <f>VLOOKUP('master table'!B64,Table8[#All], 2,FALSE)</f>
        <v>63.7</v>
      </c>
      <c r="K64">
        <f>VLOOKUP('master table'!B64,Table9[#All], 2,FALSE)</f>
        <v>172.23</v>
      </c>
      <c r="L64">
        <f>VLOOKUP('master table'!B64,Table9[#All], 3,FALSE)</f>
        <v>160.58000000000001</v>
      </c>
      <c r="M64">
        <f>VLOOKUP('master table'!B64,Table10[#All], 2,FALSE)</f>
        <v>1916</v>
      </c>
    </row>
    <row r="65" spans="2:13" x14ac:dyDescent="0.2">
      <c r="B65" t="s">
        <v>155</v>
      </c>
      <c r="C65">
        <f>VLOOKUP('master table'!B65,Table1[#All], 2,FALSE)</f>
        <v>2.5</v>
      </c>
      <c r="D65">
        <f>VLOOKUP('master table'!B65,Table2[#All], 2,FALSE)</f>
        <v>58.4</v>
      </c>
      <c r="E65">
        <f>VLOOKUP('master table'!B65,Table3[#All], 2,FALSE)</f>
        <v>3.4</v>
      </c>
      <c r="F65">
        <f>VLOOKUP('master table'!B65,Table4[#All], 2,FALSE)</f>
        <v>0.95</v>
      </c>
      <c r="G65">
        <f>VLOOKUP('master table'!B65,Table5[#All], 2,FALSE)</f>
        <v>2.0299999999999998</v>
      </c>
      <c r="H65">
        <f>VLOOKUP('master table'!B65,Table6[#All], 2,FALSE)</f>
        <v>23</v>
      </c>
      <c r="I65">
        <f>VLOOKUP('master table'!B65,Table7[#All], 2,FALSE)</f>
        <v>24.7</v>
      </c>
      <c r="J65">
        <f>VLOOKUP('master table'!B65,Table8[#All], 2,FALSE)</f>
        <v>75.099999999999994</v>
      </c>
      <c r="K65">
        <f>VLOOKUP('master table'!B65,Table9[#All], 2,FALSE)</f>
        <v>169.59</v>
      </c>
      <c r="L65">
        <f>VLOOKUP('master table'!B65,Table9[#All], 3,FALSE)</f>
        <v>155.18</v>
      </c>
      <c r="M65">
        <f>VLOOKUP('master table'!B65,Table10[#All], 2,FALSE)</f>
        <v>5600</v>
      </c>
    </row>
    <row r="66" spans="2:13" x14ac:dyDescent="0.2">
      <c r="B66" t="s">
        <v>159</v>
      </c>
      <c r="C66">
        <f>VLOOKUP('master table'!B66,Table1[#All], 2,FALSE)</f>
        <v>1.6</v>
      </c>
      <c r="D66">
        <f>VLOOKUP('master table'!B66,Table2[#All], 2,FALSE)</f>
        <v>71.900000000000006</v>
      </c>
      <c r="E66">
        <f>VLOOKUP('master table'!B66,Table3[#All], 2,FALSE)</f>
        <v>13.6</v>
      </c>
      <c r="F66">
        <f>VLOOKUP('master table'!B66,Table4[#All], 2,FALSE)</f>
        <v>0.91</v>
      </c>
      <c r="G66">
        <f>VLOOKUP('master table'!B66,Table5[#All], 2,FALSE)</f>
        <v>-0.28000000000000003</v>
      </c>
      <c r="H66">
        <f>VLOOKUP('master table'!B66,Table6[#All], 2,FALSE)</f>
        <v>42.3</v>
      </c>
      <c r="I66">
        <f>VLOOKUP('master table'!B66,Table7[#All], 2,FALSE)</f>
        <v>100.7</v>
      </c>
      <c r="J66">
        <f>VLOOKUP('master table'!B66,Table8[#All], 2,FALSE)</f>
        <v>76.7</v>
      </c>
      <c r="K66">
        <f>VLOOKUP('master table'!B66,Table9[#All], 2,FALSE)</f>
        <v>176.59</v>
      </c>
      <c r="L66">
        <f>VLOOKUP('master table'!B66,Table9[#All], 3,FALSE)</f>
        <v>162.55000000000001</v>
      </c>
      <c r="M66">
        <f>VLOOKUP('master table'!B66,Table10[#All], 2,FALSE)</f>
        <v>35941</v>
      </c>
    </row>
    <row r="67" spans="2:13" x14ac:dyDescent="0.2">
      <c r="B67" t="s">
        <v>161</v>
      </c>
      <c r="C67">
        <f>VLOOKUP('master table'!B67,Table1[#All], 2,FALSE)</f>
        <v>1.7</v>
      </c>
      <c r="D67">
        <f>VLOOKUP('master table'!B67,Table2[#All], 2,FALSE)</f>
        <v>93.9</v>
      </c>
      <c r="E67">
        <f>VLOOKUP('master table'!B67,Table3[#All], 2,FALSE)</f>
        <v>13.3</v>
      </c>
      <c r="F67">
        <f>VLOOKUP('master table'!B67,Table4[#All], 2,FALSE)</f>
        <v>1</v>
      </c>
      <c r="G67">
        <f>VLOOKUP('master table'!B67,Table5[#All], 2,FALSE)</f>
        <v>0.35</v>
      </c>
      <c r="H67">
        <f>VLOOKUP('master table'!B67,Table6[#All], 2,FALSE)</f>
        <v>36.5</v>
      </c>
      <c r="I67">
        <f>VLOOKUP('master table'!B67,Table7[#All], 2,FALSE)</f>
        <v>84.8</v>
      </c>
      <c r="J67">
        <f>VLOOKUP('master table'!B67,Table8[#All], 2,FALSE)</f>
        <v>82.9</v>
      </c>
      <c r="K67">
        <f>VLOOKUP('master table'!B67,Table9[#All], 2,FALSE)</f>
        <v>182.1</v>
      </c>
      <c r="L67">
        <f>VLOOKUP('master table'!B67,Table9[#All], 3,FALSE)</f>
        <v>168.91</v>
      </c>
      <c r="M67">
        <f>VLOOKUP('master table'!B67,Table10[#All], 2,FALSE)</f>
        <v>56974</v>
      </c>
    </row>
    <row r="68" spans="2:13" x14ac:dyDescent="0.2">
      <c r="B68" t="s">
        <v>163</v>
      </c>
      <c r="C68">
        <f>VLOOKUP('master table'!B68,Table1[#All], 2,FALSE)</f>
        <v>2.2000000000000002</v>
      </c>
      <c r="D68">
        <f>VLOOKUP('master table'!B68,Table2[#All], 2,FALSE)</f>
        <v>34.9</v>
      </c>
      <c r="E68">
        <f>VLOOKUP('master table'!B68,Table3[#All], 2,FALSE)</f>
        <v>16.5</v>
      </c>
      <c r="F68">
        <f>VLOOKUP('master table'!B68,Table4[#All], 2,FALSE)</f>
        <v>1.08</v>
      </c>
      <c r="G68">
        <f>VLOOKUP('master table'!B68,Table5[#All], 2,FALSE)</f>
        <v>1.26</v>
      </c>
      <c r="H68">
        <f>VLOOKUP('master table'!B68,Table6[#All], 2,FALSE)</f>
        <v>28.1</v>
      </c>
      <c r="I68">
        <f>VLOOKUP('master table'!B68,Table7[#All], 2,FALSE)</f>
        <v>5.2</v>
      </c>
      <c r="J68">
        <f>VLOOKUP('master table'!B68,Table8[#All], 2,FALSE)</f>
        <v>69.400000000000006</v>
      </c>
      <c r="K68">
        <f>VLOOKUP('master table'!B68,Table9[#All], 2,FALSE)</f>
        <v>166.5</v>
      </c>
      <c r="L68">
        <f>VLOOKUP('master table'!B68,Table9[#All], 3,FALSE)</f>
        <v>155.18</v>
      </c>
      <c r="M68">
        <f>VLOOKUP('master table'!B68,Table10[#All], 2,FALSE)</f>
        <v>9027</v>
      </c>
    </row>
    <row r="69" spans="2:13" x14ac:dyDescent="0.2">
      <c r="B69" t="s">
        <v>165</v>
      </c>
      <c r="C69">
        <f>VLOOKUP('master table'!B69,Table1[#All], 2,FALSE)</f>
        <v>2.2999999999999998</v>
      </c>
      <c r="D69">
        <f>VLOOKUP('master table'!B69,Table2[#All], 2,FALSE)</f>
        <v>56.6</v>
      </c>
      <c r="E69">
        <f>VLOOKUP('master table'!B69,Table3[#All], 2,FALSE)</f>
        <v>3.7</v>
      </c>
      <c r="F69">
        <f>VLOOKUP('master table'!B69,Table4[#All], 2,FALSE)</f>
        <v>1</v>
      </c>
      <c r="G69">
        <f>VLOOKUP('master table'!B69,Table5[#All], 2,FALSE)</f>
        <v>1.25</v>
      </c>
      <c r="H69">
        <f>VLOOKUP('master table'!B69,Table6[#All], 2,FALSE)</f>
        <v>30.2</v>
      </c>
      <c r="I69">
        <f>VLOOKUP('master table'!B69,Table7[#All], 2,FALSE)</f>
        <v>8.3000000000000007</v>
      </c>
      <c r="J69">
        <f>VLOOKUP('master table'!B69,Table8[#All], 2,FALSE)</f>
        <v>71.5</v>
      </c>
      <c r="K69">
        <f>VLOOKUP('master table'!B69,Table9[#All], 2,FALSE)</f>
        <v>166.26</v>
      </c>
      <c r="L69">
        <f>VLOOKUP('master table'!B69,Table9[#All], 3,FALSE)</f>
        <v>154.36000000000001</v>
      </c>
      <c r="M69">
        <f>VLOOKUP('master table'!B69,Table10[#All], 2,FALSE)</f>
        <v>14841</v>
      </c>
    </row>
    <row r="70" spans="2:13" x14ac:dyDescent="0.2">
      <c r="B70" t="s">
        <v>167</v>
      </c>
      <c r="C70">
        <f>VLOOKUP('master table'!B70,Table1[#All], 2,FALSE)</f>
        <v>2.9</v>
      </c>
      <c r="D70">
        <f>VLOOKUP('master table'!B70,Table2[#All], 2,FALSE)</f>
        <v>75.900000000000006</v>
      </c>
      <c r="E70">
        <f>VLOOKUP('master table'!B70,Table3[#All], 2,FALSE)</f>
        <v>4</v>
      </c>
      <c r="F70">
        <f>VLOOKUP('master table'!B70,Table4[#All], 2,FALSE)</f>
        <v>1.03</v>
      </c>
      <c r="G70">
        <f>VLOOKUP('master table'!B70,Table5[#All], 2,FALSE)</f>
        <v>1.32</v>
      </c>
      <c r="H70">
        <f>VLOOKUP('master table'!B70,Table6[#All], 2,FALSE)</f>
        <v>30.3</v>
      </c>
      <c r="I70">
        <f>VLOOKUP('master table'!B70,Table7[#All], 2,FALSE)</f>
        <v>23.1</v>
      </c>
      <c r="J70">
        <f>VLOOKUP('master table'!B70,Table8[#All], 2,FALSE)</f>
        <v>76.5</v>
      </c>
      <c r="K70">
        <f>VLOOKUP('master table'!B70,Table9[#All], 2,FALSE)</f>
        <v>175.62</v>
      </c>
      <c r="L70">
        <f>VLOOKUP('master table'!B70,Table9[#All], 3,FALSE)</f>
        <v>161.18</v>
      </c>
      <c r="M70">
        <f>VLOOKUP('master table'!B70,Table10[#All], 2,FALSE)</f>
        <v>17832</v>
      </c>
    </row>
    <row r="71" spans="2:13" x14ac:dyDescent="0.2">
      <c r="B71" t="s">
        <v>169</v>
      </c>
      <c r="C71">
        <f>VLOOKUP('master table'!B71,Table1[#All], 2,FALSE)</f>
        <v>3.7</v>
      </c>
      <c r="D71">
        <f>VLOOKUP('master table'!B71,Table2[#All], 2,FALSE)</f>
        <v>70.900000000000006</v>
      </c>
      <c r="E71">
        <f>VLOOKUP('master table'!B71,Table3[#All], 2,FALSE)</f>
        <v>4.0999999999999996</v>
      </c>
      <c r="F71">
        <f>VLOOKUP('master table'!B71,Table4[#All], 2,FALSE)</f>
        <v>1.01</v>
      </c>
      <c r="G71">
        <f>VLOOKUP('master table'!B71,Table5[#All], 2,FALSE)</f>
        <v>2.54</v>
      </c>
      <c r="H71">
        <f>VLOOKUP('master table'!B71,Table6[#All], 2,FALSE)</f>
        <v>20</v>
      </c>
      <c r="I71">
        <f>VLOOKUP('master table'!B71,Table7[#All], 2,FALSE)</f>
        <v>18.2</v>
      </c>
      <c r="J71">
        <f>VLOOKUP('master table'!B71,Table8[#All], 2,FALSE)</f>
        <v>70.5</v>
      </c>
      <c r="K71">
        <f>VLOOKUP('master table'!B71,Table9[#All], 2,FALSE)</f>
        <v>173.79</v>
      </c>
      <c r="L71">
        <f>VLOOKUP('master table'!B71,Table9[#All], 3,FALSE)</f>
        <v>158.75</v>
      </c>
      <c r="M71">
        <f>VLOOKUP('master table'!B71,Table10[#All], 2,FALSE)</f>
        <v>18755</v>
      </c>
    </row>
    <row r="72" spans="2:13" x14ac:dyDescent="0.2">
      <c r="B72" t="s">
        <v>171</v>
      </c>
      <c r="C72">
        <f>VLOOKUP('master table'!B72,Table1[#All], 2,FALSE)</f>
        <v>1.8</v>
      </c>
      <c r="D72">
        <f>VLOOKUP('master table'!B72,Table2[#All], 2,FALSE)</f>
        <v>63.7</v>
      </c>
      <c r="E72">
        <f>VLOOKUP('master table'!B72,Table3[#All], 2,FALSE)</f>
        <v>10.9</v>
      </c>
      <c r="F72">
        <f>VLOOKUP('master table'!B72,Table4[#All], 2,FALSE)</f>
        <v>1</v>
      </c>
      <c r="G72">
        <f>VLOOKUP('master table'!B72,Table5[#All], 2,FALSE)</f>
        <v>0.26</v>
      </c>
      <c r="H72">
        <f>VLOOKUP('master table'!B72,Table6[#All], 2,FALSE)</f>
        <v>36.799999999999997</v>
      </c>
      <c r="I72">
        <f>VLOOKUP('master table'!B72,Table7[#All], 2,FALSE)</f>
        <v>106.3</v>
      </c>
      <c r="J72">
        <f>VLOOKUP('master table'!B72,Table8[#All], 2,FALSE)</f>
        <v>82.1</v>
      </c>
      <c r="K72">
        <f>VLOOKUP('master table'!B72,Table9[#All], 2,FALSE)</f>
        <v>179.04</v>
      </c>
      <c r="L72">
        <f>VLOOKUP('master table'!B72,Table9[#All], 3,FALSE)</f>
        <v>164.5</v>
      </c>
      <c r="M72">
        <f>VLOOKUP('master table'!B72,Table10[#All], 2,FALSE)</f>
        <v>86988</v>
      </c>
    </row>
    <row r="73" spans="2:13" x14ac:dyDescent="0.2">
      <c r="B73" t="s">
        <v>175</v>
      </c>
      <c r="C73">
        <f>VLOOKUP('master table'!B73,Table1[#All], 2,FALSE)</f>
        <v>2.4</v>
      </c>
      <c r="D73">
        <f>VLOOKUP('master table'!B73,Table2[#All], 2,FALSE)</f>
        <v>92.6</v>
      </c>
      <c r="E73">
        <f>VLOOKUP('master table'!B73,Table3[#All], 2,FALSE)</f>
        <v>5.2</v>
      </c>
      <c r="F73">
        <f>VLOOKUP('master table'!B73,Table4[#All], 2,FALSE)</f>
        <v>1.01</v>
      </c>
      <c r="G73">
        <f>VLOOKUP('master table'!B73,Table5[#All], 2,FALSE)</f>
        <v>1.81</v>
      </c>
      <c r="H73">
        <f>VLOOKUP('master table'!B73,Table6[#All], 2,FALSE)</f>
        <v>29.9</v>
      </c>
      <c r="I73">
        <f>VLOOKUP('master table'!B73,Table7[#All], 2,FALSE)</f>
        <v>97.1</v>
      </c>
      <c r="J73">
        <f>VLOOKUP('master table'!B73,Table8[#All], 2,FALSE)</f>
        <v>82.8</v>
      </c>
      <c r="K73">
        <f>VLOOKUP('master table'!B73,Table9[#All], 2,FALSE)</f>
        <v>175.98</v>
      </c>
      <c r="L73">
        <f>VLOOKUP('master table'!B73,Table9[#All], 3,FALSE)</f>
        <v>162.22</v>
      </c>
      <c r="M73">
        <f>VLOOKUP('master table'!B73,Table10[#All], 2,FALSE)</f>
        <v>40337</v>
      </c>
    </row>
    <row r="74" spans="2:13" x14ac:dyDescent="0.2">
      <c r="B74" t="s">
        <v>177</v>
      </c>
      <c r="C74">
        <f>VLOOKUP('master table'!B74,Table1[#All], 2,FALSE)</f>
        <v>1.3</v>
      </c>
      <c r="D74">
        <f>VLOOKUP('master table'!B74,Table2[#All], 2,FALSE)</f>
        <v>71</v>
      </c>
      <c r="E74">
        <f>VLOOKUP('master table'!B74,Table3[#All], 2,FALSE)</f>
        <v>5.5</v>
      </c>
      <c r="F74">
        <f>VLOOKUP('master table'!B74,Table4[#All], 2,FALSE)</f>
        <v>0.93</v>
      </c>
      <c r="G74">
        <f>VLOOKUP('master table'!B74,Table5[#All], 2,FALSE)</f>
        <v>0.32</v>
      </c>
      <c r="H74">
        <f>VLOOKUP('master table'!B74,Table6[#All], 2,FALSE)</f>
        <v>45.5</v>
      </c>
      <c r="I74">
        <f>VLOOKUP('master table'!B74,Table7[#All], 2,FALSE)</f>
        <v>90.4</v>
      </c>
      <c r="J74">
        <f>VLOOKUP('master table'!B74,Table8[#All], 2,FALSE)</f>
        <v>83.6</v>
      </c>
      <c r="K74">
        <f>VLOOKUP('master table'!B74,Table9[#All], 2,FALSE)</f>
        <v>174.42</v>
      </c>
      <c r="L74">
        <f>VLOOKUP('master table'!B74,Table9[#All], 3,FALSE)</f>
        <v>161.81</v>
      </c>
      <c r="M74">
        <f>VLOOKUP('master table'!B74,Table10[#All], 2,FALSE)</f>
        <v>41582</v>
      </c>
    </row>
    <row r="75" spans="2:13" x14ac:dyDescent="0.2">
      <c r="B75" t="s">
        <v>179</v>
      </c>
      <c r="C75">
        <f>VLOOKUP('master table'!B75,Table1[#All], 2,FALSE)</f>
        <v>4.5999999999999996</v>
      </c>
      <c r="D75">
        <f>VLOOKUP('master table'!B75,Table2[#All], 2,FALSE)</f>
        <v>51.7</v>
      </c>
      <c r="E75">
        <f>VLOOKUP('master table'!B75,Table3[#All], 2,FALSE)</f>
        <v>23</v>
      </c>
      <c r="F75">
        <f>VLOOKUP('master table'!B75,Table4[#All], 2,FALSE)</f>
        <v>1.01</v>
      </c>
      <c r="G75">
        <f>VLOOKUP('master table'!B75,Table5[#All], 2,FALSE)</f>
        <v>2.29</v>
      </c>
      <c r="H75">
        <f>VLOOKUP('master table'!B75,Table6[#All], 2,FALSE)</f>
        <v>20.9</v>
      </c>
      <c r="I75">
        <f>VLOOKUP('master table'!B75,Table7[#All], 2,FALSE)</f>
        <v>11.3</v>
      </c>
      <c r="J75">
        <f>VLOOKUP('master table'!B75,Table8[#All], 2,FALSE)</f>
        <v>57.4</v>
      </c>
      <c r="K75">
        <f>VLOOKUP('master table'!B75,Table9[#All], 2,FALSE)</f>
        <v>168.23</v>
      </c>
      <c r="L75">
        <f>VLOOKUP('master table'!B75,Table9[#All], 3,FALSE)</f>
        <v>158.65</v>
      </c>
      <c r="M75">
        <f>VLOOKUP('master table'!B75,Table10[#All], 2,FALSE)</f>
        <v>4754</v>
      </c>
    </row>
    <row r="76" spans="2:13" x14ac:dyDescent="0.2">
      <c r="B76" t="s">
        <v>181</v>
      </c>
      <c r="C76">
        <f>VLOOKUP('master table'!B76,Table1[#All], 2,FALSE)</f>
        <v>2</v>
      </c>
      <c r="D76">
        <f>VLOOKUP('master table'!B76,Table2[#All], 2,FALSE)</f>
        <v>56.3</v>
      </c>
      <c r="E76">
        <f>VLOOKUP('master table'!B76,Table3[#All], 2,FALSE)</f>
        <v>2</v>
      </c>
      <c r="F76">
        <f>VLOOKUP('master table'!B76,Table4[#All], 2,FALSE)</f>
        <v>0.98</v>
      </c>
      <c r="G76">
        <f>VLOOKUP('master table'!B76,Table5[#All], 2,FALSE)</f>
        <v>0.21</v>
      </c>
      <c r="H76">
        <f>VLOOKUP('master table'!B76,Table6[#All], 2,FALSE)</f>
        <v>26</v>
      </c>
      <c r="I76">
        <f>VLOOKUP('master table'!B76,Table7[#All], 2,FALSE)</f>
        <v>56.8</v>
      </c>
      <c r="J76">
        <f>VLOOKUP('master table'!B76,Table8[#All], 2,FALSE)</f>
        <v>74.400000000000006</v>
      </c>
      <c r="K76">
        <f>VLOOKUP('master table'!B76,Table9[#All], 2,FALSE)</f>
        <v>176.97</v>
      </c>
      <c r="L76">
        <f>VLOOKUP('master table'!B76,Table9[#All], 3,FALSE)</f>
        <v>164.32</v>
      </c>
      <c r="M76">
        <f>VLOOKUP('master table'!B76,Table10[#All], 2,FALSE)</f>
        <v>9932</v>
      </c>
    </row>
    <row r="77" spans="2:13" x14ac:dyDescent="0.2">
      <c r="B77" t="s">
        <v>183</v>
      </c>
      <c r="C77">
        <f>VLOOKUP('master table'!B77,Table1[#All], 2,FALSE)</f>
        <v>1.4</v>
      </c>
      <c r="D77">
        <f>VLOOKUP('master table'!B77,Table2[#All], 2,FALSE)</f>
        <v>91.8</v>
      </c>
      <c r="E77">
        <f>VLOOKUP('master table'!B77,Table3[#All], 2,FALSE)</f>
        <v>14.3</v>
      </c>
      <c r="F77">
        <f>VLOOKUP('master table'!B77,Table4[#All], 2,FALSE)</f>
        <v>0.94</v>
      </c>
      <c r="G77">
        <f>VLOOKUP('master table'!B77,Table5[#All], 2,FALSE)</f>
        <v>-0.2</v>
      </c>
      <c r="H77">
        <f>VLOOKUP('master table'!B77,Table6[#All], 2,FALSE)</f>
        <v>47.3</v>
      </c>
      <c r="I77">
        <f>VLOOKUP('master table'!B77,Table7[#All], 2,FALSE)</f>
        <v>45.9</v>
      </c>
      <c r="J77">
        <f>VLOOKUP('master table'!B77,Table8[#All], 2,FALSE)</f>
        <v>84.5</v>
      </c>
      <c r="K77">
        <f>VLOOKUP('master table'!B77,Table9[#All], 2,FALSE)</f>
        <v>172.06</v>
      </c>
      <c r="L77">
        <f>VLOOKUP('master table'!B77,Table9[#All], 3,FALSE)</f>
        <v>158.5</v>
      </c>
      <c r="M77">
        <f>VLOOKUP('master table'!B77,Table10[#All], 2,FALSE)</f>
        <v>46827</v>
      </c>
    </row>
    <row r="78" spans="2:13" x14ac:dyDescent="0.2">
      <c r="B78" t="s">
        <v>185</v>
      </c>
      <c r="C78">
        <f>VLOOKUP('master table'!B78,Table1[#All], 2,FALSE)</f>
        <v>2.8</v>
      </c>
      <c r="D78">
        <f>VLOOKUP('master table'!B78,Table2[#All], 2,FALSE)</f>
        <v>91.4</v>
      </c>
      <c r="E78">
        <f>VLOOKUP('master table'!B78,Table3[#All], 2,FALSE)</f>
        <v>3.7</v>
      </c>
      <c r="F78">
        <f>VLOOKUP('master table'!B78,Table4[#All], 2,FALSE)</f>
        <v>1.1100000000000001</v>
      </c>
      <c r="G78">
        <f>VLOOKUP('master table'!B78,Table5[#All], 2,FALSE)</f>
        <v>2.19</v>
      </c>
      <c r="H78">
        <f>VLOOKUP('master table'!B78,Table6[#All], 2,FALSE)</f>
        <v>22.5</v>
      </c>
      <c r="I78">
        <f>VLOOKUP('master table'!B78,Table7[#All], 2,FALSE)</f>
        <v>29.8</v>
      </c>
      <c r="J78">
        <f>VLOOKUP('master table'!B78,Table8[#All], 2,FALSE)</f>
        <v>74.400000000000006</v>
      </c>
      <c r="K78">
        <f>VLOOKUP('master table'!B78,Table9[#All], 2,FALSE)</f>
        <v>174.84</v>
      </c>
      <c r="L78">
        <f>VLOOKUP('master table'!B78,Table9[#All], 3,FALSE)</f>
        <v>159.46</v>
      </c>
      <c r="M78">
        <f>VLOOKUP('master table'!B78,Table10[#All], 2,FALSE)</f>
        <v>9939</v>
      </c>
    </row>
    <row r="79" spans="2:13" x14ac:dyDescent="0.2">
      <c r="B79" t="s">
        <v>187</v>
      </c>
      <c r="C79">
        <f>VLOOKUP('master table'!B79,Table1[#All], 2,FALSE)</f>
        <v>2.8</v>
      </c>
      <c r="D79">
        <f>VLOOKUP('master table'!B79,Table2[#All], 2,FALSE)</f>
        <v>57.7</v>
      </c>
      <c r="E79">
        <f>VLOOKUP('master table'!B79,Table3[#All], 2,FALSE)</f>
        <v>22.8</v>
      </c>
      <c r="F79">
        <f>VLOOKUP('master table'!B79,Table4[#All], 2,FALSE)</f>
        <v>0.91</v>
      </c>
      <c r="G79">
        <f>VLOOKUP('master table'!B79,Table5[#All], 2,FALSE)</f>
        <v>1.43</v>
      </c>
      <c r="H79">
        <f>VLOOKUP('master table'!B79,Table6[#All], 2,FALSE)</f>
        <v>30.6</v>
      </c>
      <c r="I79">
        <f>VLOOKUP('master table'!B79,Table7[#All], 2,FALSE)</f>
        <v>44.8</v>
      </c>
      <c r="J79">
        <f>VLOOKUP('master table'!B79,Table8[#All], 2,FALSE)</f>
        <v>73.2</v>
      </c>
      <c r="K79">
        <f>VLOOKUP('master table'!B79,Table9[#All], 2,FALSE)</f>
        <v>175.5</v>
      </c>
      <c r="L79">
        <f>VLOOKUP('master table'!B79,Table9[#All], 3,FALSE)</f>
        <v>161.74</v>
      </c>
      <c r="M79">
        <f>VLOOKUP('master table'!B79,Table10[#All], 2,FALSE)</f>
        <v>30178</v>
      </c>
    </row>
    <row r="80" spans="2:13" x14ac:dyDescent="0.2">
      <c r="B80" t="s">
        <v>189</v>
      </c>
      <c r="C80">
        <f>VLOOKUP('master table'!B80,Table1[#All], 2,FALSE)</f>
        <v>3.5</v>
      </c>
      <c r="D80">
        <f>VLOOKUP('master table'!B80,Table2[#All], 2,FALSE)</f>
        <v>28</v>
      </c>
      <c r="E80">
        <f>VLOOKUP('master table'!B80,Table3[#All], 2,FALSE)</f>
        <v>5.6</v>
      </c>
      <c r="F80">
        <f>VLOOKUP('master table'!B80,Table4[#All], 2,FALSE)</f>
        <v>1</v>
      </c>
      <c r="G80">
        <f>VLOOKUP('master table'!B80,Table5[#All], 2,FALSE)</f>
        <v>2.7</v>
      </c>
      <c r="H80">
        <f>VLOOKUP('master table'!B80,Table6[#All], 2,FALSE)</f>
        <v>19.7</v>
      </c>
      <c r="I80">
        <f>VLOOKUP('master table'!B80,Table7[#All], 2,FALSE)</f>
        <v>14.3</v>
      </c>
      <c r="J80">
        <f>VLOOKUP('master table'!B80,Table8[#All], 2,FALSE)</f>
        <v>63.3</v>
      </c>
      <c r="K80">
        <f>VLOOKUP('master table'!B80,Table9[#All], 2,FALSE)</f>
        <v>170.46</v>
      </c>
      <c r="L80">
        <f>VLOOKUP('master table'!B80,Table9[#All], 3,FALSE)</f>
        <v>159.43</v>
      </c>
      <c r="M80">
        <f>VLOOKUP('master table'!B80,Table10[#All], 2,FALSE)</f>
        <v>4078</v>
      </c>
    </row>
    <row r="81" spans="2:13" x14ac:dyDescent="0.2">
      <c r="B81" t="s">
        <v>191</v>
      </c>
      <c r="C81">
        <f>VLOOKUP('master table'!B81,Table1[#All], 2,FALSE)</f>
        <v>3.6</v>
      </c>
      <c r="D81">
        <f>VLOOKUP('master table'!B81,Table2[#All], 2,FALSE)</f>
        <v>55.6</v>
      </c>
      <c r="E81">
        <f>VLOOKUP('master table'!B81,Table3[#All], 2,FALSE)</f>
        <v>15.2</v>
      </c>
      <c r="F81">
        <f>VLOOKUP('master table'!B81,Table4[#All], 2,FALSE)</f>
        <v>0.94</v>
      </c>
      <c r="G81">
        <f>VLOOKUP('master table'!B81,Table5[#All], 2,FALSE)</f>
        <v>1.54</v>
      </c>
      <c r="H81">
        <f>VLOOKUP('master table'!B81,Table6[#All], 2,FALSE)</f>
        <v>24.6</v>
      </c>
      <c r="I81">
        <f>VLOOKUP('master table'!B81,Table7[#All], 2,FALSE)</f>
        <v>32.1</v>
      </c>
      <c r="J81">
        <f>VLOOKUP('master table'!B81,Table8[#All], 2,FALSE)</f>
        <v>68.099999999999994</v>
      </c>
      <c r="K81">
        <f>VLOOKUP('master table'!B81,Table9[#All], 2,FALSE)</f>
        <v>170.09</v>
      </c>
      <c r="L81">
        <f>VLOOKUP('master table'!B81,Table9[#All], 3,FALSE)</f>
        <v>161.04</v>
      </c>
      <c r="M81">
        <f>VLOOKUP('master table'!B81,Table10[#All], 2,FALSE)</f>
        <v>2193</v>
      </c>
    </row>
    <row r="82" spans="2:13" x14ac:dyDescent="0.2">
      <c r="B82" t="s">
        <v>195</v>
      </c>
      <c r="C82">
        <f>VLOOKUP('master table'!B82,Table1[#All], 2,FALSE)</f>
        <v>3.3</v>
      </c>
      <c r="D82">
        <f>VLOOKUP('master table'!B82,Table2[#All], 2,FALSE)</f>
        <v>36.9</v>
      </c>
      <c r="E82">
        <f>VLOOKUP('master table'!B82,Table3[#All], 2,FALSE)</f>
        <v>9.1</v>
      </c>
      <c r="F82">
        <f>VLOOKUP('master table'!B82,Table4[#All], 2,FALSE)</f>
        <v>0.96</v>
      </c>
      <c r="G82">
        <f>VLOOKUP('master table'!B82,Table5[#All], 2,FALSE)</f>
        <v>1.22</v>
      </c>
      <c r="H82">
        <f>VLOOKUP('master table'!B82,Table6[#All], 2,FALSE)</f>
        <v>26.5</v>
      </c>
      <c r="I82">
        <f>VLOOKUP('master table'!B82,Table7[#All], 2,FALSE)</f>
        <v>39</v>
      </c>
      <c r="J82">
        <f>VLOOKUP('master table'!B82,Table8[#All], 2,FALSE)</f>
        <v>71.3</v>
      </c>
      <c r="K82">
        <f>VLOOKUP('master table'!B82,Table9[#All], 2,FALSE)</f>
        <v>171.66</v>
      </c>
      <c r="L82">
        <f>VLOOKUP('master table'!B82,Table9[#All], 3,FALSE)</f>
        <v>160.19999999999999</v>
      </c>
      <c r="M82">
        <f>VLOOKUP('master table'!B82,Table10[#All], 2,FALSE)</f>
        <v>4193</v>
      </c>
    </row>
    <row r="83" spans="2:13" x14ac:dyDescent="0.2">
      <c r="B83" t="s">
        <v>197</v>
      </c>
      <c r="C83">
        <f>VLOOKUP('master table'!B83,Table1[#All], 2,FALSE)</f>
        <v>2.7</v>
      </c>
      <c r="D83">
        <f>VLOOKUP('master table'!B83,Table2[#All], 2,FALSE)</f>
        <v>36.299999999999997</v>
      </c>
      <c r="E83">
        <f>VLOOKUP('master table'!B83,Table3[#All], 2,FALSE)</f>
        <v>9.3000000000000007</v>
      </c>
      <c r="F83">
        <f>VLOOKUP('master table'!B83,Table4[#All], 2,FALSE)</f>
        <v>0.99</v>
      </c>
      <c r="G83">
        <f>VLOOKUP('master table'!B83,Table5[#All], 2,FALSE)</f>
        <v>1.89</v>
      </c>
      <c r="H83">
        <f>VLOOKUP('master table'!B83,Table6[#All], 2,FALSE)</f>
        <v>23</v>
      </c>
      <c r="I83">
        <f>VLOOKUP('master table'!B83,Table7[#All], 2,FALSE)</f>
        <v>15</v>
      </c>
      <c r="J83">
        <f>VLOOKUP('master table'!B83,Table8[#All], 2,FALSE)</f>
        <v>67.599999999999994</v>
      </c>
      <c r="K83">
        <f>VLOOKUP('master table'!B83,Table9[#All], 2,FALSE)</f>
        <v>162.78</v>
      </c>
      <c r="L83">
        <f>VLOOKUP('master table'!B83,Table9[#All], 3,FALSE)</f>
        <v>153.1</v>
      </c>
      <c r="M83">
        <f>VLOOKUP('master table'!B83,Table10[#All], 2,FALSE)</f>
        <v>8684</v>
      </c>
    </row>
    <row r="84" spans="2:13" x14ac:dyDescent="0.2">
      <c r="B84" t="s">
        <v>199</v>
      </c>
      <c r="C84">
        <f>VLOOKUP('master table'!B84,Table1[#All], 2,FALSE)</f>
        <v>1.6</v>
      </c>
      <c r="D84">
        <f>VLOOKUP('master table'!B84,Table2[#All], 2,FALSE)</f>
        <v>68.3</v>
      </c>
      <c r="E84">
        <f>VLOOKUP('master table'!B84,Table3[#All], 2,FALSE)</f>
        <v>17.2</v>
      </c>
      <c r="F84">
        <f>VLOOKUP('master table'!B84,Table4[#All], 2,FALSE)</f>
        <v>0.86</v>
      </c>
      <c r="G84">
        <f>VLOOKUP('master table'!B84,Table5[#All], 2,FALSE)</f>
        <v>-1.6</v>
      </c>
      <c r="H84">
        <f>VLOOKUP('master table'!B84,Table6[#All], 2,FALSE)</f>
        <v>43.6</v>
      </c>
      <c r="I84">
        <f>VLOOKUP('master table'!B84,Table7[#All], 2,FALSE)</f>
        <v>45.7</v>
      </c>
      <c r="J84">
        <f>VLOOKUP('master table'!B84,Table8[#All], 2,FALSE)</f>
        <v>75.2</v>
      </c>
      <c r="K84">
        <f>VLOOKUP('master table'!B84,Table9[#All], 2,FALSE)</f>
        <v>181.17</v>
      </c>
      <c r="L84">
        <f>VLOOKUP('master table'!B84,Table9[#All], 3,FALSE)</f>
        <v>168.81</v>
      </c>
      <c r="M84">
        <f>VLOOKUP('master table'!B84,Table10[#All], 2,FALSE)</f>
        <v>32987</v>
      </c>
    </row>
    <row r="85" spans="2:13" x14ac:dyDescent="0.2">
      <c r="B85" t="s">
        <v>201</v>
      </c>
      <c r="C85">
        <f>VLOOKUP('master table'!B85,Table1[#All], 2,FALSE)</f>
        <v>2.1</v>
      </c>
      <c r="D85">
        <f>VLOOKUP('master table'!B85,Table2[#All], 2,FALSE)</f>
        <v>88.9</v>
      </c>
      <c r="E85">
        <f>VLOOKUP('master table'!B85,Table3[#All], 2,FALSE)</f>
        <v>3.2</v>
      </c>
      <c r="F85">
        <f>VLOOKUP('master table'!B85,Table4[#All], 2,FALSE)</f>
        <v>1</v>
      </c>
      <c r="G85">
        <f>VLOOKUP('master table'!B85,Table5[#All], 2,FALSE)</f>
        <v>0.96</v>
      </c>
      <c r="H85">
        <f>VLOOKUP('master table'!B85,Table6[#All], 2,FALSE)</f>
        <v>30.5</v>
      </c>
      <c r="I85">
        <f>VLOOKUP('master table'!B85,Table7[#All], 2,FALSE)</f>
        <v>63.1</v>
      </c>
      <c r="J85">
        <f>VLOOKUP('master table'!B85,Table8[#All], 2,FALSE)</f>
        <v>78.900000000000006</v>
      </c>
      <c r="K85">
        <f>VLOOKUP('master table'!B85,Table9[#All], 2,FALSE)</f>
        <v>178.96</v>
      </c>
      <c r="L85">
        <f>VLOOKUP('master table'!B85,Table9[#All], 3,FALSE)</f>
        <v>163.66999999999999</v>
      </c>
      <c r="M85">
        <f>VLOOKUP('master table'!B85,Table10[#All], 2,FALSE)</f>
        <v>15599</v>
      </c>
    </row>
    <row r="86" spans="2:13" x14ac:dyDescent="0.2">
      <c r="B86" t="s">
        <v>203</v>
      </c>
      <c r="C86">
        <f>VLOOKUP('master table'!B86,Table1[#All], 2,FALSE)</f>
        <v>3.1</v>
      </c>
      <c r="D86">
        <f>VLOOKUP('master table'!B86,Table2[#All], 2,FALSE)</f>
        <v>29</v>
      </c>
      <c r="E86">
        <f>VLOOKUP('master table'!B86,Table3[#All], 2,FALSE)</f>
        <v>28.9</v>
      </c>
      <c r="F86">
        <f>VLOOKUP('master table'!B86,Table4[#All], 2,FALSE)</f>
        <v>0.98</v>
      </c>
      <c r="G86">
        <f>VLOOKUP('master table'!B86,Table5[#All], 2,FALSE)</f>
        <v>1.08</v>
      </c>
      <c r="H86">
        <f>VLOOKUP('master table'!B86,Table6[#All], 2,FALSE)</f>
        <v>24.2</v>
      </c>
      <c r="I86">
        <f>VLOOKUP('master table'!B86,Table7[#All], 2,FALSE)</f>
        <v>15.4</v>
      </c>
      <c r="J86">
        <f>VLOOKUP('master table'!B86,Table8[#All], 2,FALSE)</f>
        <v>53.7</v>
      </c>
      <c r="K86">
        <f>VLOOKUP('master table'!B86,Table9[#All], 2,FALSE)</f>
        <v>167.92</v>
      </c>
      <c r="L86">
        <f>VLOOKUP('master table'!B86,Table9[#All], 3,FALSE)</f>
        <v>156.72</v>
      </c>
      <c r="M86">
        <f>VLOOKUP('master table'!B86,Table10[#All], 2,FALSE)</f>
        <v>3655</v>
      </c>
    </row>
    <row r="87" spans="2:13" x14ac:dyDescent="0.2">
      <c r="B87" t="s">
        <v>205</v>
      </c>
      <c r="C87">
        <f>VLOOKUP('master table'!B87,Table1[#All], 2,FALSE)</f>
        <v>4.3</v>
      </c>
      <c r="D87">
        <f>VLOOKUP('master table'!B87,Table2[#All], 2,FALSE)</f>
        <v>52.1</v>
      </c>
      <c r="E87">
        <f>VLOOKUP('master table'!B87,Table3[#All], 2,FALSE)</f>
        <v>13.4</v>
      </c>
      <c r="F87">
        <f>VLOOKUP('master table'!B87,Table4[#All], 2,FALSE)</f>
        <v>1</v>
      </c>
      <c r="G87">
        <f>VLOOKUP('master table'!B87,Table5[#All], 2,FALSE)</f>
        <v>2.68</v>
      </c>
      <c r="H87">
        <f>VLOOKUP('master table'!B87,Table6[#All], 2,FALSE)</f>
        <v>17.8</v>
      </c>
      <c r="I87">
        <f>VLOOKUP('master table'!B87,Table7[#All], 2,FALSE)</f>
        <v>7.9</v>
      </c>
      <c r="J87">
        <f>VLOOKUP('master table'!B87,Table8[#All], 2,FALSE)</f>
        <v>63.7</v>
      </c>
      <c r="K87">
        <f>VLOOKUP('master table'!B87,Table9[#All], 2,FALSE)</f>
        <v>165.48</v>
      </c>
      <c r="L87">
        <f>VLOOKUP('master table'!B87,Table9[#All], 3,FALSE)</f>
        <v>156.54</v>
      </c>
      <c r="M87">
        <f>VLOOKUP('master table'!B87,Table10[#All], 2,FALSE)</f>
        <v>1428</v>
      </c>
    </row>
    <row r="88" spans="2:13" x14ac:dyDescent="0.2">
      <c r="B88" t="s">
        <v>207</v>
      </c>
      <c r="C88">
        <f>VLOOKUP('master table'!B88,Table1[#All], 2,FALSE)</f>
        <v>2.2000000000000002</v>
      </c>
      <c r="D88">
        <f>VLOOKUP('master table'!B88,Table2[#All], 2,FALSE)</f>
        <v>80.7</v>
      </c>
      <c r="E88">
        <f>VLOOKUP('master table'!B88,Table3[#All], 2,FALSE)</f>
        <v>5.5</v>
      </c>
      <c r="F88">
        <f>VLOOKUP('master table'!B88,Table4[#All], 2,FALSE)</f>
        <v>1.05</v>
      </c>
      <c r="G88">
        <f>VLOOKUP('master table'!B88,Table5[#All], 2,FALSE)</f>
        <v>0.84</v>
      </c>
      <c r="H88">
        <f>VLOOKUP('master table'!B88,Table6[#All], 2,FALSE)</f>
        <v>28.9</v>
      </c>
      <c r="I88">
        <f>VLOOKUP('master table'!B88,Table7[#All], 2,FALSE)</f>
        <v>28.6</v>
      </c>
      <c r="J88">
        <f>VLOOKUP('master table'!B88,Table8[#All], 2,FALSE)</f>
        <v>72.7</v>
      </c>
      <c r="K88">
        <f>VLOOKUP('master table'!B88,Table9[#All], 2,FALSE)</f>
        <v>176.39</v>
      </c>
      <c r="L88">
        <f>VLOOKUP('master table'!B88,Table9[#All], 3,FALSE)</f>
        <v>162.56</v>
      </c>
      <c r="M88">
        <f>VLOOKUP('master table'!B88,Table10[#All], 2,FALSE)</f>
        <v>9446</v>
      </c>
    </row>
    <row r="89" spans="2:13" x14ac:dyDescent="0.2">
      <c r="B89" t="s">
        <v>211</v>
      </c>
      <c r="C89">
        <f>VLOOKUP('master table'!B89,Table1[#All], 2,FALSE)</f>
        <v>1.6</v>
      </c>
      <c r="D89">
        <f>VLOOKUP('master table'!B89,Table2[#All], 2,FALSE)</f>
        <v>68</v>
      </c>
      <c r="E89">
        <f>VLOOKUP('master table'!B89,Table3[#All], 2,FALSE)</f>
        <v>25.7</v>
      </c>
      <c r="F89">
        <f>VLOOKUP('master table'!B89,Table4[#All], 2,FALSE)</f>
        <v>0.86</v>
      </c>
      <c r="G89">
        <f>VLOOKUP('master table'!B89,Table5[#All], 2,FALSE)</f>
        <v>-1.48</v>
      </c>
      <c r="H89">
        <f>VLOOKUP('master table'!B89,Table6[#All], 2,FALSE)</f>
        <v>43.7</v>
      </c>
      <c r="I89">
        <f>VLOOKUP('master table'!B89,Table7[#All], 2,FALSE)</f>
        <v>49.5</v>
      </c>
      <c r="J89">
        <f>VLOOKUP('master table'!B89,Table8[#All], 2,FALSE)</f>
        <v>75.7</v>
      </c>
      <c r="K89">
        <f>VLOOKUP('master table'!B89,Table9[#All], 2,FALSE)</f>
        <v>180.72</v>
      </c>
      <c r="L89">
        <f>VLOOKUP('master table'!B89,Table9[#All], 3,FALSE)</f>
        <v>167.63</v>
      </c>
      <c r="M89">
        <f>VLOOKUP('master table'!B89,Table10[#All], 2,FALSE)</f>
        <v>38751</v>
      </c>
    </row>
    <row r="90" spans="2:13" x14ac:dyDescent="0.2">
      <c r="B90" t="s">
        <v>213</v>
      </c>
      <c r="C90">
        <f>VLOOKUP('master table'!B90,Table1[#All], 2,FALSE)</f>
        <v>1.4</v>
      </c>
      <c r="D90">
        <f>VLOOKUP('master table'!B90,Table2[#All], 2,FALSE)</f>
        <v>91.5</v>
      </c>
      <c r="E90">
        <f>VLOOKUP('master table'!B90,Table3[#All], 2,FALSE)</f>
        <v>10.4</v>
      </c>
      <c r="F90">
        <f>VLOOKUP('master table'!B90,Table4[#All], 2,FALSE)</f>
        <v>1.02</v>
      </c>
      <c r="G90">
        <f>VLOOKUP('master table'!B90,Table5[#All], 2,FALSE)</f>
        <v>2.4900000000000002</v>
      </c>
      <c r="H90">
        <f>VLOOKUP('master table'!B90,Table6[#All], 2,FALSE)</f>
        <v>39.299999999999997</v>
      </c>
      <c r="I90">
        <f>VLOOKUP('master table'!B90,Table7[#All], 2,FALSE)</f>
        <v>141.69999999999999</v>
      </c>
      <c r="J90">
        <f>VLOOKUP('master table'!B90,Table8[#All], 2,FALSE)</f>
        <v>82.1</v>
      </c>
      <c r="K90">
        <f>VLOOKUP('master table'!B90,Table9[#All], 2,FALSE)</f>
        <v>178.46</v>
      </c>
      <c r="L90">
        <f>VLOOKUP('master table'!B90,Table9[#All], 3,FALSE)</f>
        <v>165.07</v>
      </c>
      <c r="M90">
        <f>VLOOKUP('master table'!B90,Table10[#All], 2,FALSE)</f>
        <v>112045</v>
      </c>
    </row>
    <row r="91" spans="2:13" x14ac:dyDescent="0.2">
      <c r="B91" t="s">
        <v>217</v>
      </c>
      <c r="C91">
        <f>VLOOKUP('master table'!B91,Table1[#All], 2,FALSE)</f>
        <v>4.0999999999999996</v>
      </c>
      <c r="D91">
        <f>VLOOKUP('master table'!B91,Table2[#All], 2,FALSE)</f>
        <v>38.5</v>
      </c>
      <c r="E91">
        <f>VLOOKUP('master table'!B91,Table3[#All], 2,FALSE)</f>
        <v>6.9</v>
      </c>
      <c r="F91">
        <f>VLOOKUP('master table'!B91,Table4[#All], 2,FALSE)</f>
        <v>1</v>
      </c>
      <c r="G91">
        <f>VLOOKUP('master table'!B91,Table5[#All], 2,FALSE)</f>
        <v>2.8</v>
      </c>
      <c r="H91">
        <f>VLOOKUP('master table'!B91,Table6[#All], 2,FALSE)</f>
        <v>19.7</v>
      </c>
      <c r="I91">
        <f>VLOOKUP('master table'!B91,Table7[#All], 2,FALSE)</f>
        <v>17.600000000000001</v>
      </c>
      <c r="J91">
        <f>VLOOKUP('master table'!B91,Table8[#All], 2,FALSE)</f>
        <v>66.7</v>
      </c>
      <c r="K91">
        <f>VLOOKUP('master table'!B91,Table9[#All], 2,FALSE)</f>
        <v>165.16</v>
      </c>
      <c r="L91">
        <f>VLOOKUP('master table'!B91,Table9[#All], 3,FALSE)</f>
        <v>153.06</v>
      </c>
      <c r="M91">
        <f>VLOOKUP('master table'!B91,Table10[#All], 2,FALSE)</f>
        <v>1776</v>
      </c>
    </row>
    <row r="92" spans="2:13" x14ac:dyDescent="0.2">
      <c r="B92" t="s">
        <v>219</v>
      </c>
      <c r="C92">
        <f>VLOOKUP('master table'!B92,Table1[#All], 2,FALSE)</f>
        <v>4.2</v>
      </c>
      <c r="D92">
        <f>VLOOKUP('master table'!B92,Table2[#All], 2,FALSE)</f>
        <v>17.399999999999999</v>
      </c>
      <c r="E92">
        <f>VLOOKUP('master table'!B92,Table3[#All], 2,FALSE)</f>
        <v>7.8</v>
      </c>
      <c r="F92">
        <f>VLOOKUP('master table'!B92,Table4[#All], 2,FALSE)</f>
        <v>0.98</v>
      </c>
      <c r="G92">
        <f>VLOOKUP('master table'!B92,Table5[#All], 2,FALSE)</f>
        <v>2.86</v>
      </c>
      <c r="H92">
        <f>VLOOKUP('master table'!B92,Table6[#All], 2,FALSE)</f>
        <v>16.5</v>
      </c>
      <c r="I92">
        <f>VLOOKUP('master table'!B92,Table7[#All], 2,FALSE)</f>
        <v>5.0999999999999996</v>
      </c>
      <c r="J92">
        <f>VLOOKUP('master table'!B92,Table8[#All], 2,FALSE)</f>
        <v>63.8</v>
      </c>
      <c r="K92">
        <f>VLOOKUP('master table'!B92,Table9[#All], 2,FALSE)</f>
        <v>165.68</v>
      </c>
      <c r="L92">
        <f>VLOOKUP('master table'!B92,Table9[#All], 3,FALSE)</f>
        <v>156.13999999999999</v>
      </c>
      <c r="M92">
        <f>VLOOKUP('master table'!B92,Table10[#All], 2,FALSE)</f>
        <v>1292</v>
      </c>
    </row>
    <row r="93" spans="2:13" x14ac:dyDescent="0.2">
      <c r="B93" t="s">
        <v>221</v>
      </c>
      <c r="C93">
        <f>VLOOKUP('master table'!B93,Table1[#All], 2,FALSE)</f>
        <v>2</v>
      </c>
      <c r="D93">
        <f>VLOOKUP('master table'!B93,Table2[#All], 2,FALSE)</f>
        <v>77.2</v>
      </c>
      <c r="E93">
        <f>VLOOKUP('master table'!B93,Table3[#All], 2,FALSE)</f>
        <v>6.2</v>
      </c>
      <c r="F93">
        <f>VLOOKUP('master table'!B93,Table4[#All], 2,FALSE)</f>
        <v>1.03</v>
      </c>
      <c r="G93">
        <f>VLOOKUP('master table'!B93,Table5[#All], 2,FALSE)</f>
        <v>1.66</v>
      </c>
      <c r="H93">
        <f>VLOOKUP('master table'!B93,Table6[#All], 2,FALSE)</f>
        <v>28.5</v>
      </c>
      <c r="I93">
        <f>VLOOKUP('master table'!B93,Table7[#All], 2,FALSE)</f>
        <v>50.9</v>
      </c>
      <c r="J93">
        <f>VLOOKUP('master table'!B93,Table8[#All], 2,FALSE)</f>
        <v>76.099999999999994</v>
      </c>
      <c r="K93">
        <f>VLOOKUP('master table'!B93,Table9[#All], 2,FALSE)</f>
        <v>169.2</v>
      </c>
      <c r="L93">
        <f>VLOOKUP('master table'!B93,Table9[#All], 3,FALSE)</f>
        <v>157.06</v>
      </c>
      <c r="M93">
        <f>VLOOKUP('master table'!B93,Table10[#All], 2,FALSE)</f>
        <v>34567</v>
      </c>
    </row>
    <row r="94" spans="2:13" x14ac:dyDescent="0.2">
      <c r="B94" t="s">
        <v>225</v>
      </c>
      <c r="C94">
        <f>VLOOKUP('master table'!B94,Table1[#All], 2,FALSE)</f>
        <v>5.9</v>
      </c>
      <c r="D94">
        <f>VLOOKUP('master table'!B94,Table2[#All], 2,FALSE)</f>
        <v>43.9</v>
      </c>
      <c r="E94">
        <f>VLOOKUP('master table'!B94,Table3[#All], 2,FALSE)</f>
        <v>8.9</v>
      </c>
      <c r="F94">
        <f>VLOOKUP('master table'!B94,Table4[#All], 2,FALSE)</f>
        <v>0.95</v>
      </c>
      <c r="G94">
        <f>VLOOKUP('master table'!B94,Table5[#All], 2,FALSE)</f>
        <v>2.99</v>
      </c>
      <c r="H94">
        <f>VLOOKUP('master table'!B94,Table6[#All], 2,FALSE)</f>
        <v>15.8</v>
      </c>
      <c r="I94">
        <f>VLOOKUP('master table'!B94,Table7[#All], 2,FALSE)</f>
        <v>19</v>
      </c>
      <c r="J94">
        <f>VLOOKUP('master table'!B94,Table8[#All], 2,FALSE)</f>
        <v>58.9</v>
      </c>
      <c r="K94">
        <f>VLOOKUP('master table'!B94,Table9[#All], 2,FALSE)</f>
        <v>175.02</v>
      </c>
      <c r="L94">
        <f>VLOOKUP('master table'!B94,Table9[#All], 3,FALSE)</f>
        <v>161.99</v>
      </c>
      <c r="M94">
        <f>VLOOKUP('master table'!B94,Table10[#All], 2,FALSE)</f>
        <v>2569</v>
      </c>
    </row>
    <row r="95" spans="2:13" x14ac:dyDescent="0.2">
      <c r="B95" t="s">
        <v>227</v>
      </c>
      <c r="C95">
        <f>VLOOKUP('master table'!B95,Table1[#All], 2,FALSE)</f>
        <v>1.2</v>
      </c>
      <c r="D95">
        <f>VLOOKUP('master table'!B95,Table2[#All], 2,FALSE)</f>
        <v>94.7</v>
      </c>
      <c r="E95">
        <f>VLOOKUP('master table'!B95,Table3[#All], 2,FALSE)</f>
        <v>6.5</v>
      </c>
      <c r="F95">
        <f>VLOOKUP('master table'!B95,Table4[#All], 2,FALSE)</f>
        <v>1.01</v>
      </c>
      <c r="G95">
        <f>VLOOKUP('master table'!B95,Table5[#All], 2,FALSE)</f>
        <v>0.4</v>
      </c>
      <c r="H95">
        <f>VLOOKUP('master table'!B95,Table6[#All], 2,FALSE)</f>
        <v>41.8</v>
      </c>
      <c r="I95">
        <f>VLOOKUP('master table'!B95,Table7[#All], 2,FALSE)</f>
        <v>86.9</v>
      </c>
      <c r="J95">
        <f>VLOOKUP('master table'!B95,Table8[#All], 2,FALSE)</f>
        <v>82.4</v>
      </c>
      <c r="K95">
        <f>VLOOKUP('master table'!B95,Table9[#All], 2,FALSE)</f>
        <v>174.38</v>
      </c>
      <c r="L95">
        <f>VLOOKUP('master table'!B95,Table9[#All], 3,FALSE)</f>
        <v>162.94999999999999</v>
      </c>
      <c r="M95">
        <f>VLOOKUP('master table'!B95,Table10[#All], 2,FALSE)</f>
        <v>49589</v>
      </c>
    </row>
    <row r="96" spans="2:13" x14ac:dyDescent="0.2">
      <c r="B96" t="s">
        <v>231</v>
      </c>
      <c r="C96">
        <f>VLOOKUP('master table'!B96,Table1[#All], 2,FALSE)</f>
        <v>4.5999999999999996</v>
      </c>
      <c r="D96">
        <f>VLOOKUP('master table'!B96,Table2[#All], 2,FALSE)</f>
        <v>55.3</v>
      </c>
      <c r="E96">
        <f>VLOOKUP('master table'!B96,Table3[#All], 2,FALSE)</f>
        <v>7.5</v>
      </c>
      <c r="F96">
        <f>VLOOKUP('master table'!B96,Table4[#All], 2,FALSE)</f>
        <v>0.93</v>
      </c>
      <c r="G96">
        <f>VLOOKUP('master table'!B96,Table5[#All], 2,FALSE)</f>
        <v>2.4900000000000002</v>
      </c>
      <c r="H96">
        <f>VLOOKUP('master table'!B96,Table6[#All], 2,FALSE)</f>
        <v>20.5</v>
      </c>
      <c r="I96">
        <f>VLOOKUP('master table'!B96,Table7[#All], 2,FALSE)</f>
        <v>29.9</v>
      </c>
      <c r="J96">
        <f>VLOOKUP('master table'!B96,Table8[#All], 2,FALSE)</f>
        <v>64.7</v>
      </c>
      <c r="K96">
        <f>VLOOKUP('master table'!B96,Table9[#All], 2,FALSE)</f>
        <v>165.54</v>
      </c>
      <c r="L96">
        <f>VLOOKUP('master table'!B96,Table9[#All], 3,FALSE)</f>
        <v>160.06</v>
      </c>
      <c r="M96">
        <f>VLOOKUP('master table'!B96,Table10[#All], 2,FALSE)</f>
        <v>5158</v>
      </c>
    </row>
    <row r="97" spans="2:13" x14ac:dyDescent="0.2">
      <c r="B97" t="s">
        <v>233</v>
      </c>
      <c r="C97">
        <f>VLOOKUP('master table'!B97,Table1[#All], 2,FALSE)</f>
        <v>1.4</v>
      </c>
      <c r="D97">
        <f>VLOOKUP('master table'!B97,Table2[#All], 2,FALSE)</f>
        <v>40.799999999999997</v>
      </c>
      <c r="E97">
        <f>VLOOKUP('master table'!B97,Table3[#All], 2,FALSE)</f>
        <v>7.3</v>
      </c>
      <c r="F97">
        <f>VLOOKUP('master table'!B97,Table4[#All], 2,FALSE)</f>
        <v>0.96</v>
      </c>
      <c r="G97">
        <f>VLOOKUP('master table'!B97,Table5[#All], 2,FALSE)</f>
        <v>0.42</v>
      </c>
      <c r="H97">
        <f>VLOOKUP('master table'!B97,Table6[#All], 2,FALSE)</f>
        <v>35.299999999999997</v>
      </c>
      <c r="I97">
        <f>VLOOKUP('master table'!B97,Table7[#All], 2,FALSE)</f>
        <v>39.6</v>
      </c>
      <c r="J97">
        <f>VLOOKUP('master table'!B97,Table8[#All], 2,FALSE)</f>
        <v>74.900000000000006</v>
      </c>
      <c r="K97">
        <f>VLOOKUP('master table'!B97,Table9[#All], 2,FALSE)</f>
        <v>173.01</v>
      </c>
      <c r="L97">
        <f>VLOOKUP('master table'!B97,Table9[#All], 3,FALSE)</f>
        <v>158.94</v>
      </c>
      <c r="M97">
        <f>VLOOKUP('master table'!B97,Table10[#All], 2,FALSE)</f>
        <v>26461</v>
      </c>
    </row>
    <row r="98" spans="2:13" x14ac:dyDescent="0.2">
      <c r="B98" t="s">
        <v>235</v>
      </c>
      <c r="C98">
        <f>VLOOKUP('master table'!B98,Table1[#All], 2,FALSE)</f>
        <v>2.1</v>
      </c>
      <c r="D98">
        <f>VLOOKUP('master table'!B98,Table2[#All], 2,FALSE)</f>
        <v>80.7</v>
      </c>
      <c r="E98">
        <f>VLOOKUP('master table'!B98,Table3[#All], 2,FALSE)</f>
        <v>5.2</v>
      </c>
      <c r="F98">
        <f>VLOOKUP('master table'!B98,Table4[#All], 2,FALSE)</f>
        <v>0.96</v>
      </c>
      <c r="G98">
        <f>VLOOKUP('master table'!B98,Table5[#All], 2,FALSE)</f>
        <v>1.24</v>
      </c>
      <c r="H98">
        <f>VLOOKUP('master table'!B98,Table6[#All], 2,FALSE)</f>
        <v>28.3</v>
      </c>
      <c r="I98">
        <f>VLOOKUP('master table'!B98,Table7[#All], 2,FALSE)</f>
        <v>58.6</v>
      </c>
      <c r="J98">
        <f>VLOOKUP('master table'!B98,Table8[#All], 2,FALSE)</f>
        <v>75</v>
      </c>
      <c r="K98">
        <f>VLOOKUP('master table'!B98,Table9[#All], 2,FALSE)</f>
        <v>170.29</v>
      </c>
      <c r="L98">
        <f>VLOOKUP('master table'!B98,Table9[#All], 3,FALSE)</f>
        <v>157.9</v>
      </c>
      <c r="M98">
        <f>VLOOKUP('master table'!B98,Table10[#All], 2,FALSE)</f>
        <v>21363</v>
      </c>
    </row>
    <row r="99" spans="2:13" x14ac:dyDescent="0.2">
      <c r="B99" t="s">
        <v>239</v>
      </c>
      <c r="C99">
        <f>VLOOKUP('master table'!B99,Table1[#All], 2,FALSE)</f>
        <v>1.3</v>
      </c>
      <c r="D99">
        <f>VLOOKUP('master table'!B99,Table2[#All], 2,FALSE)</f>
        <v>42.8</v>
      </c>
      <c r="E99">
        <f>VLOOKUP('master table'!B99,Table3[#All], 2,FALSE)</f>
        <v>13.4</v>
      </c>
      <c r="F99">
        <f>VLOOKUP('master table'!B99,Table4[#All], 2,FALSE)</f>
        <v>0.96</v>
      </c>
      <c r="G99">
        <f>VLOOKUP('master table'!B99,Table5[#All], 2,FALSE)</f>
        <v>-0.04</v>
      </c>
      <c r="H99">
        <f>VLOOKUP('master table'!B99,Table6[#All], 2,FALSE)</f>
        <v>36.700000000000003</v>
      </c>
      <c r="I99">
        <f>VLOOKUP('master table'!B99,Table7[#All], 2,FALSE)</f>
        <v>22.7</v>
      </c>
      <c r="J99">
        <f>VLOOKUP('master table'!B99,Table8[#All], 2,FALSE)</f>
        <v>71.8</v>
      </c>
      <c r="K99">
        <f>VLOOKUP('master table'!B99,Table9[#All], 2,FALSE)</f>
        <v>175.59</v>
      </c>
      <c r="L99">
        <f>VLOOKUP('master table'!B99,Table9[#All], 3,FALSE)</f>
        <v>162.96</v>
      </c>
      <c r="M99">
        <f>VLOOKUP('master table'!B99,Table10[#All], 2,FALSE)</f>
        <v>8161</v>
      </c>
    </row>
    <row r="100" spans="2:13" x14ac:dyDescent="0.2">
      <c r="B100" t="s">
        <v>241</v>
      </c>
      <c r="C100">
        <f>VLOOKUP('master table'!B100,Table1[#All], 2,FALSE)</f>
        <v>2.9</v>
      </c>
      <c r="D100">
        <f>VLOOKUP('master table'!B100,Table2[#All], 2,FALSE)</f>
        <v>68.7</v>
      </c>
      <c r="E100">
        <f>VLOOKUP('master table'!B100,Table3[#All], 2,FALSE)</f>
        <v>13.3</v>
      </c>
      <c r="F100">
        <f>VLOOKUP('master table'!B100,Table4[#All], 2,FALSE)</f>
        <v>0.95</v>
      </c>
      <c r="G100">
        <f>VLOOKUP('master table'!B100,Table5[#All], 2,FALSE)</f>
        <v>1.52</v>
      </c>
      <c r="H100">
        <f>VLOOKUP('master table'!B100,Table6[#All], 2,FALSE)</f>
        <v>28.3</v>
      </c>
      <c r="I100">
        <f>VLOOKUP('master table'!B100,Table7[#All], 2,FALSE)</f>
        <v>108.8</v>
      </c>
      <c r="J100">
        <f>VLOOKUP('master table'!B100,Table8[#All], 2,FALSE)</f>
        <v>69.7</v>
      </c>
      <c r="K100">
        <f>VLOOKUP('master table'!B100,Table9[#All], 2,FALSE)</f>
        <v>170.67</v>
      </c>
      <c r="L100">
        <f>VLOOKUP('master table'!B100,Table9[#All], 3,FALSE)</f>
        <v>159.88999999999999</v>
      </c>
      <c r="M100">
        <f>VLOOKUP('master table'!B100,Table10[#All], 2,FALSE)</f>
        <v>15089</v>
      </c>
    </row>
    <row r="101" spans="2:13" x14ac:dyDescent="0.2">
      <c r="B101" t="s">
        <v>245</v>
      </c>
      <c r="C101">
        <f>VLOOKUP('master table'!B101,Table1[#All], 2,FALSE)</f>
        <v>3.1</v>
      </c>
      <c r="D101">
        <f>VLOOKUP('master table'!B101,Table2[#All], 2,FALSE)</f>
        <v>63.5</v>
      </c>
      <c r="E101">
        <f>VLOOKUP('master table'!B101,Table3[#All], 2,FALSE)</f>
        <v>3.1</v>
      </c>
      <c r="F101">
        <f>VLOOKUP('master table'!B101,Table4[#All], 2,FALSE)</f>
        <v>1</v>
      </c>
      <c r="G101">
        <f>VLOOKUP('master table'!B101,Table5[#All], 2,FALSE)</f>
        <v>1.43</v>
      </c>
      <c r="H101">
        <f>VLOOKUP('master table'!B101,Table6[#All], 2,FALSE)</f>
        <v>29.3</v>
      </c>
      <c r="I101">
        <f>VLOOKUP('master table'!B101,Table7[#All], 2,FALSE)</f>
        <v>20.6</v>
      </c>
      <c r="J101">
        <f>VLOOKUP('master table'!B101,Table8[#All], 2,FALSE)</f>
        <v>76.5</v>
      </c>
      <c r="K101">
        <f>VLOOKUP('master table'!B101,Table9[#All], 2,FALSE)</f>
        <v>176.35</v>
      </c>
      <c r="L101">
        <f>VLOOKUP('master table'!B101,Table9[#All], 3,FALSE)</f>
        <v>161.18</v>
      </c>
      <c r="M101">
        <f>VLOOKUP('master table'!B101,Table10[#All], 2,FALSE)</f>
        <v>9667</v>
      </c>
    </row>
    <row r="102" spans="2:13" x14ac:dyDescent="0.2">
      <c r="B102" t="s">
        <v>247</v>
      </c>
      <c r="C102">
        <f>VLOOKUP('master table'!B102,Table1[#All], 2,FALSE)</f>
        <v>4.9000000000000004</v>
      </c>
      <c r="D102">
        <f>VLOOKUP('master table'!B102,Table2[#All], 2,FALSE)</f>
        <v>37.1</v>
      </c>
      <c r="E102">
        <f>VLOOKUP('master table'!B102,Table3[#All], 2,FALSE)</f>
        <v>8.4</v>
      </c>
      <c r="F102">
        <f>VLOOKUP('master table'!B102,Table4[#All], 2,FALSE)</f>
        <v>0.97</v>
      </c>
      <c r="G102">
        <f>VLOOKUP('master table'!B102,Table5[#All], 2,FALSE)</f>
        <v>2.5</v>
      </c>
      <c r="H102">
        <f>VLOOKUP('master table'!B102,Table6[#All], 2,FALSE)</f>
        <v>17.2</v>
      </c>
      <c r="I102">
        <f>VLOOKUP('master table'!B102,Table7[#All], 2,FALSE)</f>
        <v>5.6</v>
      </c>
      <c r="J102">
        <f>VLOOKUP('master table'!B102,Table8[#All], 2,FALSE)</f>
        <v>60.2</v>
      </c>
      <c r="K102">
        <f>VLOOKUP('master table'!B102,Table9[#All], 2,FALSE)</f>
        <v>164.3</v>
      </c>
      <c r="L102">
        <f>VLOOKUP('master table'!B102,Table9[#All], 3,FALSE)</f>
        <v>155.41999999999999</v>
      </c>
      <c r="M102">
        <f>VLOOKUP('master table'!B102,Table10[#All], 2,FALSE)</f>
        <v>1372</v>
      </c>
    </row>
    <row r="103" spans="2:13" x14ac:dyDescent="0.2">
      <c r="B103" t="s">
        <v>251</v>
      </c>
      <c r="C103">
        <f>VLOOKUP('master table'!B103,Table1[#All], 2,FALSE)</f>
        <v>3.4</v>
      </c>
      <c r="D103">
        <f>VLOOKUP('master table'!B103,Table2[#All], 2,FALSE)</f>
        <v>52</v>
      </c>
      <c r="E103">
        <f>VLOOKUP('master table'!B103,Table3[#All], 2,FALSE)</f>
        <v>11.5</v>
      </c>
      <c r="F103">
        <f>VLOOKUP('master table'!B103,Table4[#All], 2,FALSE)</f>
        <v>0.96</v>
      </c>
      <c r="G103">
        <f>VLOOKUP('master table'!B103,Table5[#All], 2,FALSE)</f>
        <v>1.87</v>
      </c>
      <c r="H103">
        <f>VLOOKUP('master table'!B103,Table6[#All], 2,FALSE)</f>
        <v>21.2</v>
      </c>
      <c r="I103">
        <f>VLOOKUP('master table'!B103,Table7[#All], 2,FALSE)</f>
        <v>34</v>
      </c>
      <c r="J103">
        <f>VLOOKUP('master table'!B103,Table8[#All], 2,FALSE)</f>
        <v>63.4</v>
      </c>
      <c r="K103">
        <f>VLOOKUP('master table'!B103,Table9[#All], 2,FALSE)</f>
        <v>169.75</v>
      </c>
      <c r="L103">
        <f>VLOOKUP('master table'!B103,Table9[#All], 3,FALSE)</f>
        <v>160.26</v>
      </c>
      <c r="M103">
        <f>VLOOKUP('master table'!B103,Table10[#All], 2,FALSE)</f>
        <v>11451</v>
      </c>
    </row>
    <row r="104" spans="2:13" x14ac:dyDescent="0.2">
      <c r="B104" t="s">
        <v>253</v>
      </c>
      <c r="C104">
        <f>VLOOKUP('master table'!B104,Table1[#All], 2,FALSE)</f>
        <v>1.9</v>
      </c>
      <c r="D104">
        <f>VLOOKUP('master table'!B104,Table2[#All], 2,FALSE)</f>
        <v>20.6</v>
      </c>
      <c r="E104">
        <f>VLOOKUP('master table'!B104,Table3[#All], 2,FALSE)</f>
        <v>9.6</v>
      </c>
      <c r="F104">
        <f>VLOOKUP('master table'!B104,Table4[#All], 2,FALSE)</f>
        <v>0.96</v>
      </c>
      <c r="G104">
        <f>VLOOKUP('master table'!B104,Table5[#All], 2,FALSE)</f>
        <v>1.1599999999999999</v>
      </c>
      <c r="H104">
        <f>VLOOKUP('master table'!B104,Table6[#All], 2,FALSE)</f>
        <v>24.1</v>
      </c>
      <c r="I104">
        <f>VLOOKUP('master table'!B104,Table7[#All], 2,FALSE)</f>
        <v>10</v>
      </c>
      <c r="J104">
        <f>VLOOKUP('master table'!B104,Table8[#All], 2,FALSE)</f>
        <v>70.5</v>
      </c>
      <c r="K104">
        <f>VLOOKUP('master table'!B104,Table9[#All], 2,FALSE)</f>
        <v>164.36</v>
      </c>
      <c r="L104">
        <f>VLOOKUP('master table'!B104,Table9[#All], 3,FALSE)</f>
        <v>152.38999999999999</v>
      </c>
      <c r="M104">
        <f>VLOOKUP('master table'!B104,Table10[#All], 2,FALSE)</f>
        <v>3550</v>
      </c>
    </row>
    <row r="105" spans="2:13" x14ac:dyDescent="0.2">
      <c r="B105" t="s">
        <v>255</v>
      </c>
      <c r="C105">
        <f>VLOOKUP('master table'!B105,Table1[#All], 2,FALSE)</f>
        <v>1.6</v>
      </c>
      <c r="D105">
        <f>VLOOKUP('master table'!B105,Table2[#All], 2,FALSE)</f>
        <v>92.2</v>
      </c>
      <c r="E105">
        <f>VLOOKUP('master table'!B105,Table3[#All], 2,FALSE)</f>
        <v>9.6</v>
      </c>
      <c r="F105">
        <f>VLOOKUP('master table'!B105,Table4[#All], 2,FALSE)</f>
        <v>0.98</v>
      </c>
      <c r="G105">
        <f>VLOOKUP('master table'!B105,Table5[#All], 2,FALSE)</f>
        <v>0.45</v>
      </c>
      <c r="H105">
        <f>VLOOKUP('master table'!B105,Table6[#All], 2,FALSE)</f>
        <v>42.6</v>
      </c>
      <c r="I105">
        <f>VLOOKUP('master table'!B105,Table7[#All], 2,FALSE)</f>
        <v>89.3</v>
      </c>
      <c r="J105">
        <f>VLOOKUP('master table'!B105,Table8[#All], 2,FALSE)</f>
        <v>82.1</v>
      </c>
      <c r="K105">
        <f>VLOOKUP('master table'!B105,Table9[#All], 2,FALSE)</f>
        <v>183.78</v>
      </c>
      <c r="L105">
        <f>VLOOKUP('master table'!B105,Table9[#All], 3,FALSE)</f>
        <v>170.36</v>
      </c>
      <c r="M105">
        <f>VLOOKUP('master table'!B105,Table10[#All], 2,FALSE)</f>
        <v>60299</v>
      </c>
    </row>
    <row r="106" spans="2:13" x14ac:dyDescent="0.2">
      <c r="B106" t="s">
        <v>259</v>
      </c>
      <c r="C106">
        <f>VLOOKUP('master table'!B106,Table1[#All], 2,FALSE)</f>
        <v>1.7</v>
      </c>
      <c r="D106">
        <f>VLOOKUP('master table'!B106,Table2[#All], 2,FALSE)</f>
        <v>86.7</v>
      </c>
      <c r="E106">
        <f>VLOOKUP('master table'!B106,Table3[#All], 2,FALSE)</f>
        <v>11.6</v>
      </c>
      <c r="F106">
        <f>VLOOKUP('master table'!B106,Table4[#All], 2,FALSE)</f>
        <v>1</v>
      </c>
      <c r="G106">
        <f>VLOOKUP('master table'!B106,Table5[#All], 2,FALSE)</f>
        <v>0.63</v>
      </c>
      <c r="H106">
        <f>VLOOKUP('master table'!B106,Table6[#All], 2,FALSE)</f>
        <v>37.9</v>
      </c>
      <c r="I106">
        <f>VLOOKUP('master table'!B106,Table7[#All], 2,FALSE)</f>
        <v>142.1</v>
      </c>
      <c r="J106">
        <f>VLOOKUP('master table'!B106,Table8[#All], 2,FALSE)</f>
        <v>82.1</v>
      </c>
      <c r="K106">
        <f>VLOOKUP('master table'!B106,Table9[#All], 2,FALSE)</f>
        <v>177.72</v>
      </c>
      <c r="L106">
        <f>VLOOKUP('master table'!B106,Table9[#All], 3,FALSE)</f>
        <v>164.66</v>
      </c>
      <c r="M106">
        <f>VLOOKUP('master table'!B106,Table10[#All], 2,FALSE)</f>
        <v>42045</v>
      </c>
    </row>
    <row r="107" spans="2:13" x14ac:dyDescent="0.2">
      <c r="B107" t="s">
        <v>261</v>
      </c>
      <c r="C107">
        <f>VLOOKUP('master table'!B107,Table1[#All], 2,FALSE)</f>
        <v>2.4</v>
      </c>
      <c r="D107">
        <f>VLOOKUP('master table'!B107,Table2[#All], 2,FALSE)</f>
        <v>59</v>
      </c>
      <c r="E107">
        <f>VLOOKUP('master table'!B107,Table3[#All], 2,FALSE)</f>
        <v>11.9</v>
      </c>
      <c r="F107">
        <f>VLOOKUP('master table'!B107,Table4[#All], 2,FALSE)</f>
        <v>0.95</v>
      </c>
      <c r="G107">
        <f>VLOOKUP('master table'!B107,Table5[#All], 2,FALSE)</f>
        <v>1.46</v>
      </c>
      <c r="H107">
        <f>VLOOKUP('master table'!B107,Table6[#All], 2,FALSE)</f>
        <v>25.7</v>
      </c>
      <c r="I107">
        <f>VLOOKUP('master table'!B107,Table7[#All], 2,FALSE)</f>
        <v>14.9</v>
      </c>
      <c r="J107">
        <f>VLOOKUP('master table'!B107,Table8[#All], 2,FALSE)</f>
        <v>74.3</v>
      </c>
      <c r="K107">
        <f>VLOOKUP('master table'!B107,Table9[#All], 2,FALSE)</f>
        <v>169.91</v>
      </c>
      <c r="L107">
        <f>VLOOKUP('master table'!B107,Table9[#All], 3,FALSE)</f>
        <v>155.62</v>
      </c>
      <c r="M107">
        <f>VLOOKUP('master table'!B107,Table10[#All], 2,FALSE)</f>
        <v>5297</v>
      </c>
    </row>
    <row r="108" spans="2:13" x14ac:dyDescent="0.2">
      <c r="B108" t="s">
        <v>263</v>
      </c>
      <c r="C108">
        <f>VLOOKUP('master table'!B108,Table1[#All], 2,FALSE)</f>
        <v>5.3</v>
      </c>
      <c r="D108">
        <f>VLOOKUP('master table'!B108,Table2[#All], 2,FALSE)</f>
        <v>16.600000000000001</v>
      </c>
      <c r="E108">
        <f>VLOOKUP('master table'!B108,Table3[#All], 2,FALSE)</f>
        <v>9</v>
      </c>
      <c r="F108">
        <f>VLOOKUP('master table'!B108,Table4[#All], 2,FALSE)</f>
        <v>0.98</v>
      </c>
      <c r="G108">
        <f>VLOOKUP('master table'!B108,Table5[#All], 2,FALSE)</f>
        <v>3.84</v>
      </c>
      <c r="H108">
        <f>VLOOKUP('master table'!B108,Table6[#All], 2,FALSE)</f>
        <v>15.4</v>
      </c>
      <c r="I108">
        <f>VLOOKUP('master table'!B108,Table7[#All], 2,FALSE)</f>
        <v>11.2</v>
      </c>
      <c r="J108">
        <f>VLOOKUP('master table'!B108,Table8[#All], 2,FALSE)</f>
        <v>62</v>
      </c>
      <c r="K108">
        <f>VLOOKUP('master table'!B108,Table9[#All], 2,FALSE)</f>
        <v>170.26</v>
      </c>
      <c r="L108">
        <f>VLOOKUP('master table'!B108,Table9[#All], 3,FALSE)</f>
        <v>159.81</v>
      </c>
      <c r="M108">
        <f>VLOOKUP('master table'!B108,Table10[#All], 2,FALSE)</f>
        <v>1152</v>
      </c>
    </row>
    <row r="109" spans="2:13" x14ac:dyDescent="0.2">
      <c r="B109" t="s">
        <v>265</v>
      </c>
      <c r="C109">
        <f>VLOOKUP('master table'!B109,Table1[#All], 2,FALSE)</f>
        <v>5.4</v>
      </c>
      <c r="D109">
        <f>VLOOKUP('master table'!B109,Table2[#All], 2,FALSE)</f>
        <v>52</v>
      </c>
      <c r="E109">
        <f>VLOOKUP('master table'!B109,Table3[#All], 2,FALSE)</f>
        <v>17.3</v>
      </c>
      <c r="F109">
        <f>VLOOKUP('master table'!B109,Table4[#All], 2,FALSE)</f>
        <v>1.02</v>
      </c>
      <c r="G109">
        <f>VLOOKUP('master table'!B109,Table5[#All], 2,FALSE)</f>
        <v>2.79</v>
      </c>
      <c r="H109">
        <f>VLOOKUP('master table'!B109,Table6[#All], 2,FALSE)</f>
        <v>18.399999999999999</v>
      </c>
      <c r="I109">
        <f>VLOOKUP('master table'!B109,Table7[#All], 2,FALSE)</f>
        <v>8.6</v>
      </c>
      <c r="J109">
        <f>VLOOKUP('master table'!B109,Table8[#All], 2,FALSE)</f>
        <v>54.3</v>
      </c>
      <c r="K109">
        <f>VLOOKUP('master table'!B109,Table9[#All], 2,FALSE)</f>
        <v>171.55</v>
      </c>
      <c r="L109">
        <f>VLOOKUP('master table'!B109,Table9[#All], 3,FALSE)</f>
        <v>158.13999999999999</v>
      </c>
      <c r="M109">
        <f>VLOOKUP('master table'!B109,Table10[#All], 2,FALSE)</f>
        <v>6172</v>
      </c>
    </row>
    <row r="110" spans="2:13" x14ac:dyDescent="0.2">
      <c r="B110" t="s">
        <v>269</v>
      </c>
      <c r="C110">
        <f>VLOOKUP('master table'!B110,Table1[#All], 2,FALSE)</f>
        <v>1.5</v>
      </c>
      <c r="D110">
        <f>VLOOKUP('master table'!B110,Table2[#All], 2,FALSE)</f>
        <v>58.5</v>
      </c>
      <c r="E110">
        <f>VLOOKUP('master table'!B110,Table3[#All], 2,FALSE)</f>
        <v>6.2</v>
      </c>
      <c r="F110">
        <f>VLOOKUP('master table'!B110,Table4[#All], 2,FALSE)</f>
        <v>0.99</v>
      </c>
      <c r="G110">
        <f>VLOOKUP('master table'!B110,Table5[#All], 2,FALSE)</f>
        <v>0.08</v>
      </c>
      <c r="H110">
        <f>VLOOKUP('master table'!B110,Table6[#All], 2,FALSE)</f>
        <v>37.9</v>
      </c>
      <c r="I110">
        <f>VLOOKUP('master table'!B110,Table7[#All], 2,FALSE)</f>
        <v>35.4</v>
      </c>
      <c r="J110">
        <f>VLOOKUP('master table'!B110,Table8[#All], 2,FALSE)</f>
        <v>75.7</v>
      </c>
      <c r="K110">
        <f>VLOOKUP('master table'!B110,Table9[#All], 2,FALSE)</f>
        <v>176.43</v>
      </c>
      <c r="L110">
        <f>VLOOKUP('master table'!B110,Table9[#All], 3,FALSE)</f>
        <v>160.88</v>
      </c>
      <c r="M110">
        <f>VLOOKUP('master table'!B110,Table10[#All], 2,FALSE)</f>
        <v>17378</v>
      </c>
    </row>
    <row r="111" spans="2:13" x14ac:dyDescent="0.2">
      <c r="B111" t="s">
        <v>271</v>
      </c>
      <c r="C111">
        <f>VLOOKUP('master table'!B111,Table1[#All], 2,FALSE)</f>
        <v>1.6</v>
      </c>
      <c r="D111">
        <f>VLOOKUP('master table'!B111,Table2[#All], 2,FALSE)</f>
        <v>83</v>
      </c>
      <c r="E111">
        <f>VLOOKUP('master table'!B111,Table3[#All], 2,FALSE)</f>
        <v>10.1</v>
      </c>
      <c r="F111">
        <f>VLOOKUP('master table'!B111,Table4[#All], 2,FALSE)</f>
        <v>1.02</v>
      </c>
      <c r="G111">
        <f>VLOOKUP('master table'!B111,Table5[#All], 2,FALSE)</f>
        <v>1.32</v>
      </c>
      <c r="H111">
        <f>VLOOKUP('master table'!B111,Table6[#All], 2,FALSE)</f>
        <v>39.200000000000003</v>
      </c>
      <c r="I111">
        <f>VLOOKUP('master table'!B111,Table7[#All], 2,FALSE)</f>
        <v>61.7</v>
      </c>
      <c r="J111">
        <f>VLOOKUP('master table'!B111,Table8[#All], 2,FALSE)</f>
        <v>82.5</v>
      </c>
      <c r="K111">
        <f>VLOOKUP('master table'!B111,Table9[#All], 2,FALSE)</f>
        <v>180.48</v>
      </c>
      <c r="L111">
        <f>VLOOKUP('master table'!B111,Table9[#All], 3,FALSE)</f>
        <v>166.45</v>
      </c>
      <c r="M111">
        <f>VLOOKUP('master table'!B111,Table10[#All], 2,FALSE)</f>
        <v>79638</v>
      </c>
    </row>
    <row r="112" spans="2:13" x14ac:dyDescent="0.2">
      <c r="B112" t="s">
        <v>273</v>
      </c>
      <c r="C112">
        <f>VLOOKUP('master table'!B112,Table1[#All], 2,FALSE)</f>
        <v>2.9</v>
      </c>
      <c r="D112">
        <f>VLOOKUP('master table'!B112,Table2[#All], 2,FALSE)</f>
        <v>86.3</v>
      </c>
      <c r="E112">
        <f>VLOOKUP('master table'!B112,Table3[#All], 2,FALSE)</f>
        <v>3.5</v>
      </c>
      <c r="F112">
        <f>VLOOKUP('master table'!B112,Table4[#All], 2,FALSE)</f>
        <v>1.18</v>
      </c>
      <c r="G112">
        <f>VLOOKUP('master table'!B112,Table5[#All], 2,FALSE)</f>
        <v>9.1300000000000008</v>
      </c>
      <c r="H112">
        <f>VLOOKUP('master table'!B112,Table6[#All], 2,FALSE)</f>
        <v>25.6</v>
      </c>
      <c r="I112">
        <f>VLOOKUP('master table'!B112,Table7[#All], 2,FALSE)</f>
        <v>49.8</v>
      </c>
      <c r="J112">
        <f>VLOOKUP('master table'!B112,Table8[#All], 2,FALSE)</f>
        <v>77.599999999999994</v>
      </c>
      <c r="K112">
        <f>VLOOKUP('master table'!B112,Table9[#All], 2,FALSE)</f>
        <v>171.7</v>
      </c>
      <c r="L112">
        <f>VLOOKUP('master table'!B112,Table9[#All], 3,FALSE)</f>
        <v>158.44</v>
      </c>
      <c r="M112">
        <f>VLOOKUP('master table'!B112,Table10[#All], 2,FALSE)</f>
        <v>48593</v>
      </c>
    </row>
    <row r="113" spans="2:13" x14ac:dyDescent="0.2">
      <c r="B113" t="s">
        <v>275</v>
      </c>
      <c r="C113">
        <f>VLOOKUP('master table'!B113,Table1[#All], 2,FALSE)</f>
        <v>3.5</v>
      </c>
      <c r="D113">
        <f>VLOOKUP('master table'!B113,Table2[#All], 2,FALSE)</f>
        <v>37.200000000000003</v>
      </c>
      <c r="E113">
        <f>VLOOKUP('master table'!B113,Table3[#All], 2,FALSE)</f>
        <v>3.1</v>
      </c>
      <c r="F113">
        <f>VLOOKUP('master table'!B113,Table4[#All], 2,FALSE)</f>
        <v>1.04</v>
      </c>
      <c r="G113">
        <f>VLOOKUP('master table'!B113,Table5[#All], 2,FALSE)</f>
        <v>2.69</v>
      </c>
      <c r="H113">
        <f>VLOOKUP('master table'!B113,Table6[#All], 2,FALSE)</f>
        <v>23.8</v>
      </c>
      <c r="I113">
        <f>VLOOKUP('master table'!B113,Table7[#All], 2,FALSE)</f>
        <v>12.3</v>
      </c>
      <c r="J113">
        <f>VLOOKUP('master table'!B113,Table8[#All], 2,FALSE)</f>
        <v>67.099999999999994</v>
      </c>
      <c r="K113">
        <f>VLOOKUP('master table'!B113,Table9[#All], 2,FALSE)</f>
        <v>167.33</v>
      </c>
      <c r="L113">
        <f>VLOOKUP('master table'!B113,Table9[#All], 3,FALSE)</f>
        <v>154.77000000000001</v>
      </c>
      <c r="M113">
        <f>VLOOKUP('master table'!B113,Table10[#All], 2,FALSE)</f>
        <v>6016</v>
      </c>
    </row>
    <row r="114" spans="2:13" x14ac:dyDescent="0.2">
      <c r="B114" t="s">
        <v>279</v>
      </c>
      <c r="C114">
        <f>VLOOKUP('master table'!B114,Table1[#All], 2,FALSE)</f>
        <v>2.5</v>
      </c>
      <c r="D114">
        <f>VLOOKUP('master table'!B114,Table2[#All], 2,FALSE)</f>
        <v>68.400000000000006</v>
      </c>
      <c r="E114">
        <f>VLOOKUP('master table'!B114,Table3[#All], 2,FALSE)</f>
        <v>4.4000000000000004</v>
      </c>
      <c r="F114">
        <f>VLOOKUP('master table'!B114,Table4[#All], 2,FALSE)</f>
        <v>1.01</v>
      </c>
      <c r="G114">
        <f>VLOOKUP('master table'!B114,Table5[#All], 2,FALSE)</f>
        <v>1.64</v>
      </c>
      <c r="H114">
        <f>VLOOKUP('master table'!B114,Table6[#All], 2,FALSE)</f>
        <v>29.2</v>
      </c>
      <c r="I114">
        <f>VLOOKUP('master table'!B114,Table7[#All], 2,FALSE)</f>
        <v>54.5</v>
      </c>
      <c r="J114">
        <f>VLOOKUP('master table'!B114,Table8[#All], 2,FALSE)</f>
        <v>78.3</v>
      </c>
      <c r="K114">
        <f>VLOOKUP('master table'!B114,Table9[#All], 2,FALSE)</f>
        <v>170.19</v>
      </c>
      <c r="L114">
        <f>VLOOKUP('master table'!B114,Table9[#All], 3,FALSE)</f>
        <v>158.19</v>
      </c>
      <c r="M114">
        <f>VLOOKUP('master table'!B114,Table10[#All], 2,FALSE)</f>
        <v>28456</v>
      </c>
    </row>
    <row r="115" spans="2:13" x14ac:dyDescent="0.2">
      <c r="B115" t="s">
        <v>281</v>
      </c>
      <c r="C115">
        <f>VLOOKUP('master table'!B115,Table1[#All], 2,FALSE)</f>
        <v>3.6</v>
      </c>
      <c r="D115">
        <f>VLOOKUP('master table'!B115,Table2[#All], 2,FALSE)</f>
        <v>13.3</v>
      </c>
      <c r="E115">
        <f>VLOOKUP('master table'!B115,Table3[#All], 2,FALSE)</f>
        <v>7</v>
      </c>
      <c r="F115">
        <f>VLOOKUP('master table'!B115,Table4[#All], 2,FALSE)</f>
        <v>1.04</v>
      </c>
      <c r="G115">
        <f>VLOOKUP('master table'!B115,Table5[#All], 2,FALSE)</f>
        <v>2.17</v>
      </c>
      <c r="H115">
        <f>VLOOKUP('master table'!B115,Table6[#All], 2,FALSE)</f>
        <v>23.1</v>
      </c>
      <c r="I115">
        <f>VLOOKUP('master table'!B115,Table7[#All], 2,FALSE)</f>
        <v>73</v>
      </c>
      <c r="J115">
        <f>VLOOKUP('master table'!B115,Table8[#All], 2,FALSE)</f>
        <v>64.3</v>
      </c>
      <c r="K115">
        <f>VLOOKUP('master table'!B115,Table9[#All], 2,FALSE)</f>
        <v>163.1</v>
      </c>
      <c r="L115">
        <f>VLOOKUP('master table'!B115,Table9[#All], 3,FALSE)</f>
        <v>156.88999999999999</v>
      </c>
      <c r="M115">
        <f>VLOOKUP('master table'!B115,Table10[#All], 2,FALSE)</f>
        <v>4081</v>
      </c>
    </row>
    <row r="116" spans="2:13" x14ac:dyDescent="0.2">
      <c r="B116" t="s">
        <v>283</v>
      </c>
      <c r="C116">
        <f>VLOOKUP('master table'!B116,Table1[#All], 2,FALSE)</f>
        <v>2.4</v>
      </c>
      <c r="D116">
        <f>VLOOKUP('master table'!B116,Table2[#All], 2,FALSE)</f>
        <v>62.2</v>
      </c>
      <c r="E116">
        <f>VLOOKUP('master table'!B116,Table3[#All], 2,FALSE)</f>
        <v>9.3000000000000007</v>
      </c>
      <c r="F116">
        <f>VLOOKUP('master table'!B116,Table4[#All], 2,FALSE)</f>
        <v>1</v>
      </c>
      <c r="G116">
        <f>VLOOKUP('master table'!B116,Table5[#All], 2,FALSE)</f>
        <v>1.72</v>
      </c>
      <c r="H116">
        <f>VLOOKUP('master table'!B116,Table6[#All], 2,FALSE)</f>
        <v>28.2</v>
      </c>
      <c r="I116">
        <f>VLOOKUP('master table'!B116,Table7[#All], 2,FALSE)</f>
        <v>70.3</v>
      </c>
      <c r="J116">
        <f>VLOOKUP('master table'!B116,Table8[#All], 2,FALSE)</f>
        <v>74.099999999999994</v>
      </c>
      <c r="K116">
        <f>VLOOKUP('master table'!B116,Table9[#All], 2,FALSE)</f>
        <v>173.81</v>
      </c>
      <c r="L116">
        <f>VLOOKUP('master table'!B116,Table9[#All], 3,FALSE)</f>
        <v>159.76</v>
      </c>
      <c r="M116">
        <f>VLOOKUP('master table'!B116,Table10[#All], 2,FALSE)</f>
        <v>13213</v>
      </c>
    </row>
    <row r="117" spans="2:13" x14ac:dyDescent="0.2">
      <c r="B117" t="s">
        <v>285</v>
      </c>
      <c r="C117">
        <f>VLOOKUP('master table'!B117,Table1[#All], 2,FALSE)</f>
        <v>2.2999999999999998</v>
      </c>
      <c r="D117">
        <f>VLOOKUP('master table'!B117,Table2[#All], 2,FALSE)</f>
        <v>78.3</v>
      </c>
      <c r="E117">
        <f>VLOOKUP('master table'!B117,Table3[#All], 2,FALSE)</f>
        <v>5.0999999999999996</v>
      </c>
      <c r="F117">
        <f>VLOOKUP('master table'!B117,Table4[#All], 2,FALSE)</f>
        <v>0.96</v>
      </c>
      <c r="G117">
        <f>VLOOKUP('master table'!B117,Table5[#All], 2,FALSE)</f>
        <v>1.25</v>
      </c>
      <c r="H117">
        <f>VLOOKUP('master table'!B117,Table6[#All], 2,FALSE)</f>
        <v>28</v>
      </c>
      <c r="I117">
        <f>VLOOKUP('master table'!B117,Table7[#All], 2,FALSE)</f>
        <v>34.5</v>
      </c>
      <c r="J117">
        <f>VLOOKUP('master table'!B117,Table8[#All], 2,FALSE)</f>
        <v>76.5</v>
      </c>
      <c r="K117">
        <f>VLOOKUP('master table'!B117,Table9[#All], 2,FALSE)</f>
        <v>166.75</v>
      </c>
      <c r="L117">
        <f>VLOOKUP('master table'!B117,Table9[#All], 3,FALSE)</f>
        <v>154.38999999999999</v>
      </c>
      <c r="M117">
        <f>VLOOKUP('master table'!B117,Table10[#All], 2,FALSE)</f>
        <v>15399</v>
      </c>
    </row>
    <row r="118" spans="2:13" x14ac:dyDescent="0.2">
      <c r="B118" t="s">
        <v>287</v>
      </c>
      <c r="C118">
        <f>VLOOKUP('master table'!B118,Table1[#All], 2,FALSE)</f>
        <v>2.6</v>
      </c>
      <c r="D118">
        <f>VLOOKUP('master table'!B118,Table2[#All], 2,FALSE)</f>
        <v>47.4</v>
      </c>
      <c r="E118">
        <f>VLOOKUP('master table'!B118,Table3[#All], 2,FALSE)</f>
        <v>3.7</v>
      </c>
      <c r="F118">
        <f>VLOOKUP('master table'!B118,Table4[#All], 2,FALSE)</f>
        <v>1.01</v>
      </c>
      <c r="G118">
        <f>VLOOKUP('master table'!B118,Table5[#All], 2,FALSE)</f>
        <v>1.72</v>
      </c>
      <c r="H118">
        <f>VLOOKUP('master table'!B118,Table6[#All], 2,FALSE)</f>
        <v>23.5</v>
      </c>
      <c r="I118">
        <f>VLOOKUP('master table'!B118,Table7[#All], 2,FALSE)</f>
        <v>31.1</v>
      </c>
      <c r="J118">
        <f>VLOOKUP('master table'!B118,Table8[#All], 2,FALSE)</f>
        <v>71.099999999999994</v>
      </c>
      <c r="K118">
        <f>VLOOKUP('master table'!B118,Table9[#All], 2,FALSE)</f>
        <v>165.23</v>
      </c>
      <c r="L118">
        <f>VLOOKUP('master table'!B118,Table9[#All], 3,FALSE)</f>
        <v>154.13999999999999</v>
      </c>
      <c r="M118">
        <f>VLOOKUP('master table'!B118,Table10[#All], 2,FALSE)</f>
        <v>10094</v>
      </c>
    </row>
    <row r="119" spans="2:13" x14ac:dyDescent="0.2">
      <c r="B119" t="s">
        <v>289</v>
      </c>
      <c r="C119">
        <f>VLOOKUP('master table'!B119,Table1[#All], 2,FALSE)</f>
        <v>1.5</v>
      </c>
      <c r="D119">
        <f>VLOOKUP('master table'!B119,Table2[#All], 2,FALSE)</f>
        <v>60</v>
      </c>
      <c r="E119">
        <f>VLOOKUP('master table'!B119,Table3[#All], 2,FALSE)</f>
        <v>13.4</v>
      </c>
      <c r="F119">
        <f>VLOOKUP('master table'!B119,Table4[#All], 2,FALSE)</f>
        <v>0.94</v>
      </c>
      <c r="G119">
        <f>VLOOKUP('master table'!B119,Table5[#All], 2,FALSE)</f>
        <v>0.02</v>
      </c>
      <c r="H119">
        <f>VLOOKUP('master table'!B119,Table6[#All], 2,FALSE)</f>
        <v>40.700000000000003</v>
      </c>
      <c r="I119">
        <f>VLOOKUP('master table'!B119,Table7[#All], 2,FALSE)</f>
        <v>78.099999999999994</v>
      </c>
      <c r="J119">
        <f>VLOOKUP('master table'!B119,Table8[#All], 2,FALSE)</f>
        <v>78.5</v>
      </c>
      <c r="K119">
        <f>VLOOKUP('master table'!B119,Table9[#All], 2,FALSE)</f>
        <v>180.69</v>
      </c>
      <c r="L119">
        <f>VLOOKUP('master table'!B119,Table9[#All], 3,FALSE)</f>
        <v>165.78</v>
      </c>
      <c r="M119">
        <f>VLOOKUP('master table'!B119,Table10[#All], 2,FALSE)</f>
        <v>35651</v>
      </c>
    </row>
    <row r="120" spans="2:13" x14ac:dyDescent="0.2">
      <c r="B120" t="s">
        <v>291</v>
      </c>
      <c r="C120">
        <f>VLOOKUP('master table'!B120,Table1[#All], 2,FALSE)</f>
        <v>1.4</v>
      </c>
      <c r="D120">
        <f>VLOOKUP('master table'!B120,Table2[#All], 2,FALSE)</f>
        <v>66.3</v>
      </c>
      <c r="E120">
        <f>VLOOKUP('master table'!B120,Table3[#All], 2,FALSE)</f>
        <v>8.6</v>
      </c>
      <c r="F120">
        <f>VLOOKUP('master table'!B120,Table4[#All], 2,FALSE)</f>
        <v>0.9</v>
      </c>
      <c r="G120">
        <f>VLOOKUP('master table'!B120,Table5[#All], 2,FALSE)</f>
        <v>-0.28999999999999998</v>
      </c>
      <c r="H120">
        <f>VLOOKUP('master table'!B120,Table6[#All], 2,FALSE)</f>
        <v>42.2</v>
      </c>
      <c r="I120">
        <f>VLOOKUP('master table'!B120,Table7[#All], 2,FALSE)</f>
        <v>91.1</v>
      </c>
      <c r="J120">
        <f>VLOOKUP('master table'!B120,Table8[#All], 2,FALSE)</f>
        <v>81.900000000000006</v>
      </c>
      <c r="K120">
        <f>VLOOKUP('master table'!B120,Table9[#All], 2,FALSE)</f>
        <v>174.37</v>
      </c>
      <c r="L120">
        <f>VLOOKUP('master table'!B120,Table9[#All], 3,FALSE)</f>
        <v>161.22999999999999</v>
      </c>
      <c r="M120">
        <f>VLOOKUP('master table'!B120,Table10[#All], 2,FALSE)</f>
        <v>34936</v>
      </c>
    </row>
    <row r="121" spans="2:13" x14ac:dyDescent="0.2">
      <c r="B121" t="s">
        <v>297</v>
      </c>
      <c r="C121">
        <f>VLOOKUP('master table'!B121,Table1[#All], 2,FALSE)</f>
        <v>1.8</v>
      </c>
      <c r="D121">
        <f>VLOOKUP('master table'!B121,Table2[#All], 2,FALSE)</f>
        <v>56.4</v>
      </c>
      <c r="E121">
        <f>VLOOKUP('master table'!B121,Table3[#All], 2,FALSE)</f>
        <v>8</v>
      </c>
      <c r="F121">
        <f>VLOOKUP('master table'!B121,Table4[#All], 2,FALSE)</f>
        <v>0.95</v>
      </c>
      <c r="G121">
        <f>VLOOKUP('master table'!B121,Table5[#All], 2,FALSE)</f>
        <v>-0.27</v>
      </c>
      <c r="H121">
        <f>VLOOKUP('master table'!B121,Table6[#All], 2,FALSE)</f>
        <v>41.1</v>
      </c>
      <c r="I121">
        <f>VLOOKUP('master table'!B121,Table7[#All], 2,FALSE)</f>
        <v>54.5</v>
      </c>
      <c r="J121">
        <f>VLOOKUP('master table'!B121,Table8[#All], 2,FALSE)</f>
        <v>75.900000000000006</v>
      </c>
      <c r="K121">
        <f>VLOOKUP('master table'!B121,Table9[#All], 2,FALSE)</f>
        <v>177.82</v>
      </c>
      <c r="L121">
        <f>VLOOKUP('master table'!B121,Table9[#All], 3,FALSE)</f>
        <v>164.73</v>
      </c>
      <c r="M121">
        <f>VLOOKUP('master table'!B121,Table10[#All], 2,FALSE)</f>
        <v>29555</v>
      </c>
    </row>
    <row r="122" spans="2:13" x14ac:dyDescent="0.2">
      <c r="B122" t="s">
        <v>299</v>
      </c>
      <c r="C122">
        <f>VLOOKUP('master table'!B122,Table1[#All], 2,FALSE)</f>
        <v>1.82</v>
      </c>
      <c r="D122">
        <f>VLOOKUP('master table'!B122,Table2[#All], 2,FALSE)</f>
        <v>74.8</v>
      </c>
      <c r="E122">
        <f>VLOOKUP('master table'!B122,Table3[#All], 2,FALSE)</f>
        <v>26.5</v>
      </c>
      <c r="F122">
        <f>VLOOKUP('master table'!B122,Table4[#All], 2,FALSE)</f>
        <v>0.86</v>
      </c>
      <c r="G122">
        <f>VLOOKUP('master table'!B122,Table5[#All], 2,FALSE)</f>
        <v>0.4</v>
      </c>
      <c r="H122">
        <f>VLOOKUP('master table'!B122,Table6[#All], 2,FALSE)</f>
        <v>39.6</v>
      </c>
      <c r="I122">
        <f>VLOOKUP('master table'!B122,Table7[#All], 2,FALSE)</f>
        <v>51</v>
      </c>
      <c r="J122">
        <f>VLOOKUP('master table'!B122,Table8[#All], 2,FALSE)</f>
        <v>72.400000000000006</v>
      </c>
      <c r="K122">
        <f>VLOOKUP('master table'!B122,Table9[#All], 2,FALSE)</f>
        <v>176.65</v>
      </c>
      <c r="L122">
        <f>VLOOKUP('master table'!B122,Table9[#All], 3,FALSE)</f>
        <v>164.52</v>
      </c>
      <c r="M122">
        <f>VLOOKUP('master table'!B122,Table10[#All], 2,FALSE)</f>
        <v>30820</v>
      </c>
    </row>
    <row r="123" spans="2:13" x14ac:dyDescent="0.2">
      <c r="B123" t="s">
        <v>301</v>
      </c>
      <c r="C123">
        <f>VLOOKUP('master table'!B123,Table1[#All], 2,FALSE)</f>
        <v>4</v>
      </c>
      <c r="D123">
        <f>VLOOKUP('master table'!B123,Table2[#All], 2,FALSE)</f>
        <v>17.399999999999999</v>
      </c>
      <c r="E123">
        <f>VLOOKUP('master table'!B123,Table3[#All], 2,FALSE)</f>
        <v>11</v>
      </c>
      <c r="F123">
        <f>VLOOKUP('master table'!B123,Table4[#All], 2,FALSE)</f>
        <v>0.96</v>
      </c>
      <c r="G123">
        <f>VLOOKUP('master table'!B123,Table5[#All], 2,FALSE)</f>
        <v>2.77</v>
      </c>
      <c r="H123">
        <f>VLOOKUP('master table'!B123,Table6[#All], 2,FALSE)</f>
        <v>19</v>
      </c>
      <c r="I123">
        <f>VLOOKUP('master table'!B123,Table7[#All], 2,FALSE)</f>
        <v>4.4000000000000004</v>
      </c>
      <c r="J123">
        <f>VLOOKUP('master table'!B123,Table8[#All], 2,FALSE)</f>
        <v>68.7</v>
      </c>
      <c r="K123">
        <f>VLOOKUP('master table'!B123,Table9[#All], 2,FALSE)</f>
        <v>166.02</v>
      </c>
      <c r="L123">
        <f>VLOOKUP('master table'!B123,Table9[#All], 3,FALSE)</f>
        <v>156.72</v>
      </c>
      <c r="M123">
        <f>VLOOKUP('master table'!B123,Table10[#All], 2,FALSE)</f>
        <v>2642</v>
      </c>
    </row>
    <row r="124" spans="2:13" x14ac:dyDescent="0.2">
      <c r="B124" t="s">
        <v>311</v>
      </c>
      <c r="C124">
        <f>VLOOKUP('master table'!B124,Table1[#All], 2,FALSE)</f>
        <v>2.2999999999999998</v>
      </c>
      <c r="D124">
        <f>VLOOKUP('master table'!B124,Table2[#All], 2,FALSE)</f>
        <v>84.3</v>
      </c>
      <c r="E124">
        <f>VLOOKUP('master table'!B124,Table3[#All], 2,FALSE)</f>
        <v>3.4</v>
      </c>
      <c r="F124">
        <f>VLOOKUP('master table'!B124,Table4[#All], 2,FALSE)</f>
        <v>1.3</v>
      </c>
      <c r="G124">
        <f>VLOOKUP('master table'!B124,Table5[#All], 2,FALSE)</f>
        <v>1.88</v>
      </c>
      <c r="H124">
        <f>VLOOKUP('master table'!B124,Table6[#All], 2,FALSE)</f>
        <v>27.5</v>
      </c>
      <c r="I124">
        <f>VLOOKUP('master table'!B124,Table7[#All], 2,FALSE)</f>
        <v>44.6</v>
      </c>
      <c r="J124">
        <f>VLOOKUP('master table'!B124,Table8[#All], 2,FALSE)</f>
        <v>75</v>
      </c>
      <c r="K124">
        <f>VLOOKUP('master table'!B124,Table9[#All], 2,FALSE)</f>
        <v>170.67</v>
      </c>
      <c r="L124">
        <f>VLOOKUP('master table'!B124,Table9[#All], 3,FALSE)</f>
        <v>158.84</v>
      </c>
      <c r="M124">
        <f>VLOOKUP('master table'!B124,Table10[#All], 2,FALSE)</f>
        <v>56912</v>
      </c>
    </row>
    <row r="125" spans="2:13" x14ac:dyDescent="0.2">
      <c r="B125" t="s">
        <v>313</v>
      </c>
      <c r="C125">
        <f>VLOOKUP('master table'!B125,Table1[#All], 2,FALSE)</f>
        <v>4.5999999999999996</v>
      </c>
      <c r="D125">
        <f>VLOOKUP('master table'!B125,Table2[#All], 2,FALSE)</f>
        <v>48.1</v>
      </c>
      <c r="E125">
        <f>VLOOKUP('master table'!B125,Table3[#All], 2,FALSE)</f>
        <v>11.8</v>
      </c>
      <c r="F125">
        <f>VLOOKUP('master table'!B125,Table4[#All], 2,FALSE)</f>
        <v>0.94</v>
      </c>
      <c r="G125">
        <f>VLOOKUP('master table'!B125,Table5[#All], 2,FALSE)</f>
        <v>2.92</v>
      </c>
      <c r="H125">
        <f>VLOOKUP('master table'!B125,Table6[#All], 2,FALSE)</f>
        <v>18.8</v>
      </c>
      <c r="I125">
        <f>VLOOKUP('master table'!B125,Table7[#All], 2,FALSE)</f>
        <v>17.7</v>
      </c>
      <c r="J125">
        <f>VLOOKUP('master table'!B125,Table8[#All], 2,FALSE)</f>
        <v>67.7</v>
      </c>
      <c r="K125">
        <f>VLOOKUP('master table'!B125,Table9[#All], 2,FALSE)</f>
        <v>176.18</v>
      </c>
      <c r="L125">
        <f>VLOOKUP('master table'!B125,Table9[#All], 3,FALSE)</f>
        <v>163.92</v>
      </c>
      <c r="M125">
        <f>VLOOKUP('master table'!B125,Table10[#All], 2,FALSE)</f>
        <v>4079</v>
      </c>
    </row>
    <row r="126" spans="2:13" x14ac:dyDescent="0.2">
      <c r="B126" t="s">
        <v>317</v>
      </c>
      <c r="C126">
        <f>VLOOKUP('master table'!B126,Table1[#All], 2,FALSE)</f>
        <v>2.4</v>
      </c>
      <c r="D126">
        <f>VLOOKUP('master table'!B126,Table2[#All], 2,FALSE)</f>
        <v>57.5</v>
      </c>
      <c r="E126">
        <f>VLOOKUP('master table'!B126,Table3[#All], 2,FALSE)</f>
        <v>8.3000000000000007</v>
      </c>
      <c r="F126">
        <f>VLOOKUP('master table'!B126,Table4[#All], 2,FALSE)</f>
        <v>1.07</v>
      </c>
      <c r="G126">
        <f>VLOOKUP('master table'!B126,Table5[#All], 2,FALSE)</f>
        <v>0.39</v>
      </c>
      <c r="H126">
        <f>VLOOKUP('master table'!B126,Table6[#All], 2,FALSE)</f>
        <v>35.4</v>
      </c>
      <c r="I126">
        <f>VLOOKUP('master table'!B126,Table7[#All], 2,FALSE)</f>
        <v>51.1</v>
      </c>
      <c r="J126">
        <f>VLOOKUP('master table'!B126,Table8[#All], 2,FALSE)</f>
        <v>73.3</v>
      </c>
      <c r="K126">
        <f>VLOOKUP('master table'!B126,Table9[#All], 2,FALSE)</f>
        <v>175.9</v>
      </c>
      <c r="L126">
        <f>VLOOKUP('master table'!B126,Table9[#All], 3,FALSE)</f>
        <v>162.47</v>
      </c>
      <c r="M126">
        <f>VLOOKUP('master table'!B126,Table10[#All], 2,FALSE)</f>
        <v>33118</v>
      </c>
    </row>
    <row r="127" spans="2:13" x14ac:dyDescent="0.2">
      <c r="B127" t="s">
        <v>319</v>
      </c>
      <c r="C127">
        <f>VLOOKUP('master table'!B127,Table1[#All], 2,FALSE)</f>
        <v>4.3</v>
      </c>
      <c r="D127">
        <f>VLOOKUP('master table'!B127,Table2[#All], 2,FALSE)</f>
        <v>42.9</v>
      </c>
      <c r="E127">
        <f>VLOOKUP('master table'!B127,Table3[#All], 2,FALSE)</f>
        <v>16.100000000000001</v>
      </c>
      <c r="F127">
        <f>VLOOKUP('master table'!B127,Table4[#All], 2,FALSE)</f>
        <v>0.95</v>
      </c>
      <c r="G127">
        <f>VLOOKUP('master table'!B127,Table5[#All], 2,FALSE)</f>
        <v>1.91</v>
      </c>
      <c r="H127">
        <f>VLOOKUP('master table'!B127,Table6[#All], 2,FALSE)</f>
        <v>19</v>
      </c>
      <c r="I127">
        <f>VLOOKUP('master table'!B127,Table7[#All], 2,FALSE)</f>
        <v>6.1</v>
      </c>
      <c r="J127">
        <f>VLOOKUP('master table'!B127,Table8[#All], 2,FALSE)</f>
        <v>54.3</v>
      </c>
      <c r="K127">
        <f>VLOOKUP('master table'!B127,Table9[#All], 2,FALSE)</f>
        <v>166.43</v>
      </c>
      <c r="L127">
        <f>VLOOKUP('master table'!B127,Table9[#All], 3,FALSE)</f>
        <v>157.34</v>
      </c>
      <c r="M127">
        <f>VLOOKUP('master table'!B127,Table10[#All], 2,FALSE)</f>
        <v>1765</v>
      </c>
    </row>
    <row r="128" spans="2:13" x14ac:dyDescent="0.2">
      <c r="B128" t="s">
        <v>321</v>
      </c>
      <c r="C128">
        <f>VLOOKUP('master table'!B128,Table1[#All], 2,FALSE)</f>
        <v>1.1000000000000001</v>
      </c>
      <c r="D128">
        <f>VLOOKUP('master table'!B128,Table2[#All], 2,FALSE)</f>
        <v>100</v>
      </c>
      <c r="E128">
        <f>VLOOKUP('master table'!B128,Table3[#All], 2,FALSE)</f>
        <v>7.9</v>
      </c>
      <c r="F128">
        <f>VLOOKUP('master table'!B128,Table4[#All], 2,FALSE)</f>
        <v>0.96</v>
      </c>
      <c r="G128">
        <f>VLOOKUP('master table'!B128,Table5[#All], 2,FALSE)</f>
        <v>2.4500000000000002</v>
      </c>
      <c r="H128">
        <f>VLOOKUP('master table'!B128,Table6[#All], 2,FALSE)</f>
        <v>34.6</v>
      </c>
      <c r="I128">
        <f>VLOOKUP('master table'!B128,Table7[#All], 2,FALSE)</f>
        <v>71.099999999999994</v>
      </c>
      <c r="J128">
        <f>VLOOKUP('master table'!B128,Table8[#All], 2,FALSE)</f>
        <v>83.8</v>
      </c>
      <c r="K128">
        <f>VLOOKUP('master table'!B128,Table9[#All], 2,FALSE)</f>
        <v>173.5</v>
      </c>
      <c r="L128">
        <f>VLOOKUP('master table'!B128,Table9[#All], 3,FALSE)</f>
        <v>161.30000000000001</v>
      </c>
      <c r="M128">
        <f>VLOOKUP('master table'!B128,Table10[#All], 2,FALSE)</f>
        <v>105689</v>
      </c>
    </row>
    <row r="129" spans="2:13" x14ac:dyDescent="0.2">
      <c r="B129" t="s">
        <v>325</v>
      </c>
      <c r="C129">
        <f>VLOOKUP('master table'!B129,Table1[#All], 2,FALSE)</f>
        <v>1.6</v>
      </c>
      <c r="D129">
        <f>VLOOKUP('master table'!B129,Table2[#All], 2,FALSE)</f>
        <v>55.1</v>
      </c>
      <c r="E129">
        <f>VLOOKUP('master table'!B129,Table3[#All], 2,FALSE)</f>
        <v>13.3</v>
      </c>
      <c r="F129">
        <f>VLOOKUP('master table'!B129,Table4[#All], 2,FALSE)</f>
        <v>1</v>
      </c>
      <c r="G129">
        <f>VLOOKUP('master table'!B129,Table5[#All], 2,FALSE)</f>
        <v>0.26</v>
      </c>
      <c r="H129">
        <f>VLOOKUP('master table'!B129,Table6[#All], 2,FALSE)</f>
        <v>44.5</v>
      </c>
      <c r="I129">
        <f>VLOOKUP('master table'!B129,Table7[#All], 2,FALSE)</f>
        <v>88</v>
      </c>
      <c r="J129">
        <f>VLOOKUP('master table'!B129,Table8[#All], 2,FALSE)</f>
        <v>81.2</v>
      </c>
      <c r="K129">
        <f>VLOOKUP('master table'!B129,Table9[#All], 2,FALSE)</f>
        <v>180.98</v>
      </c>
      <c r="L129">
        <f>VLOOKUP('master table'!B129,Table9[#All], 3,FALSE)</f>
        <v>167.2</v>
      </c>
      <c r="M129">
        <f>VLOOKUP('master table'!B129,Table10[#All], 2,FALSE)</f>
        <v>40344</v>
      </c>
    </row>
    <row r="130" spans="2:13" x14ac:dyDescent="0.2">
      <c r="B130" t="s">
        <v>327</v>
      </c>
      <c r="C130">
        <f>VLOOKUP('master table'!B130,Table1[#All], 2,FALSE)</f>
        <v>4.4000000000000004</v>
      </c>
      <c r="D130">
        <f>VLOOKUP('master table'!B130,Table2[#All], 2,FALSE)</f>
        <v>24.7</v>
      </c>
      <c r="E130">
        <f>VLOOKUP('master table'!B130,Table3[#All], 2,FALSE)</f>
        <v>5.9</v>
      </c>
      <c r="F130">
        <f>VLOOKUP('master table'!B130,Table4[#All], 2,FALSE)</f>
        <v>1.04</v>
      </c>
      <c r="G130">
        <f>VLOOKUP('master table'!B130,Table5[#All], 2,FALSE)</f>
        <v>2.13</v>
      </c>
      <c r="H130">
        <f>VLOOKUP('master table'!B130,Table6[#All], 2,FALSE)</f>
        <v>22.5</v>
      </c>
      <c r="I130">
        <f>VLOOKUP('master table'!B130,Table7[#All], 2,FALSE)</f>
        <v>9.6999999999999993</v>
      </c>
      <c r="J130">
        <f>VLOOKUP('master table'!B130,Table8[#All], 2,FALSE)</f>
        <v>72.8</v>
      </c>
      <c r="K130">
        <f>VLOOKUP('master table'!B130,Table9[#All], 2,FALSE)</f>
        <v>163.07</v>
      </c>
      <c r="L130">
        <f>VLOOKUP('master table'!B130,Table9[#All], 3,FALSE)</f>
        <v>156.79</v>
      </c>
      <c r="M130">
        <f>VLOOKUP('master table'!B130,Table10[#All], 2,FALSE)</f>
        <v>2363</v>
      </c>
    </row>
    <row r="131" spans="2:13" x14ac:dyDescent="0.2">
      <c r="B131" t="s">
        <v>329</v>
      </c>
      <c r="C131">
        <f>VLOOKUP('master table'!B131,Table1[#All], 2,FALSE)</f>
        <v>6.1</v>
      </c>
      <c r="D131">
        <f>VLOOKUP('master table'!B131,Table2[#All], 2,FALSE)</f>
        <v>46.1</v>
      </c>
      <c r="E131">
        <f>VLOOKUP('master table'!B131,Table3[#All], 2,FALSE)</f>
        <v>8.3000000000000007</v>
      </c>
      <c r="F131">
        <f>VLOOKUP('master table'!B131,Table4[#All], 2,FALSE)</f>
        <v>1.02</v>
      </c>
      <c r="G131">
        <f>VLOOKUP('master table'!B131,Table5[#All], 2,FALSE)</f>
        <v>2.86</v>
      </c>
      <c r="H131">
        <f>VLOOKUP('master table'!B131,Table6[#All], 2,FALSE)</f>
        <v>18.100000000000001</v>
      </c>
      <c r="I131">
        <f>VLOOKUP('master table'!B131,Table7[#All], 2,FALSE)</f>
        <v>9.5</v>
      </c>
      <c r="J131">
        <f>VLOOKUP('master table'!B131,Table8[#All], 2,FALSE)</f>
        <v>56.7</v>
      </c>
      <c r="K131">
        <f>VLOOKUP('master table'!B131,Table9[#All], 2,FALSE)</f>
        <v>171.22</v>
      </c>
      <c r="L131">
        <f>VLOOKUP('master table'!B131,Table9[#All], 3,FALSE)</f>
        <v>159.86000000000001</v>
      </c>
      <c r="M131">
        <f>VLOOKUP('master table'!B131,Table10[#All], 2,FALSE)</f>
        <v>314.5</v>
      </c>
    </row>
    <row r="132" spans="2:13" x14ac:dyDescent="0.2">
      <c r="B132" t="s">
        <v>331</v>
      </c>
      <c r="C132">
        <f>VLOOKUP('master table'!B132,Table1[#All], 2,FALSE)</f>
        <v>2.4</v>
      </c>
      <c r="D132">
        <f>VLOOKUP('master table'!B132,Table2[#All], 2,FALSE)</f>
        <v>67.400000000000006</v>
      </c>
      <c r="E132">
        <f>VLOOKUP('master table'!B132,Table3[#All], 2,FALSE)</f>
        <v>12.8</v>
      </c>
      <c r="F132">
        <f>VLOOKUP('master table'!B132,Table4[#All], 2,FALSE)</f>
        <v>0.98</v>
      </c>
      <c r="G132">
        <f>VLOOKUP('master table'!B132,Table5[#All], 2,FALSE)</f>
        <v>1.18</v>
      </c>
      <c r="H132">
        <f>VLOOKUP('master table'!B132,Table6[#All], 2,FALSE)</f>
        <v>27.1</v>
      </c>
      <c r="I132">
        <f>VLOOKUP('master table'!B132,Table7[#All], 2,FALSE)</f>
        <v>39</v>
      </c>
      <c r="J132">
        <f>VLOOKUP('master table'!B132,Table8[#All], 2,FALSE)</f>
        <v>63.9</v>
      </c>
      <c r="K132">
        <f>VLOOKUP('master table'!B132,Table9[#All], 2,FALSE)</f>
        <v>169.63</v>
      </c>
      <c r="L132">
        <f>VLOOKUP('master table'!B132,Table9[#All], 3,FALSE)</f>
        <v>158.58000000000001</v>
      </c>
      <c r="M132">
        <f>VLOOKUP('master table'!B132,Table10[#All], 2,FALSE)</f>
        <v>13965</v>
      </c>
    </row>
    <row r="133" spans="2:13" x14ac:dyDescent="0.2">
      <c r="B133" t="s">
        <v>337</v>
      </c>
      <c r="C133">
        <f>VLOOKUP('master table'!B133,Table1[#All], 2,FALSE)</f>
        <v>1.3</v>
      </c>
      <c r="D133">
        <f>VLOOKUP('master table'!B133,Table2[#All], 2,FALSE)</f>
        <v>80.8</v>
      </c>
      <c r="E133">
        <f>VLOOKUP('master table'!B133,Table3[#All], 2,FALSE)</f>
        <v>6.1</v>
      </c>
      <c r="F133">
        <f>VLOOKUP('master table'!B133,Table4[#All], 2,FALSE)</f>
        <v>0.98</v>
      </c>
      <c r="G133">
        <f>VLOOKUP('master table'!B133,Table5[#All], 2,FALSE)</f>
        <v>0.09</v>
      </c>
      <c r="H133">
        <f>VLOOKUP('master table'!B133,Table6[#All], 2,FALSE)</f>
        <v>42.7</v>
      </c>
      <c r="I133">
        <f>VLOOKUP('master table'!B133,Table7[#All], 2,FALSE)</f>
        <v>118.6</v>
      </c>
      <c r="J133">
        <f>VLOOKUP('master table'!B133,Table8[#All], 2,FALSE)</f>
        <v>83.4</v>
      </c>
      <c r="K133">
        <f>VLOOKUP('master table'!B133,Table9[#All], 2,FALSE)</f>
        <v>176.11</v>
      </c>
      <c r="L133">
        <f>VLOOKUP('master table'!B133,Table9[#All], 3,FALSE)</f>
        <v>162.03</v>
      </c>
      <c r="M133">
        <f>VLOOKUP('master table'!B133,Table10[#All], 2,FALSE)</f>
        <v>43007</v>
      </c>
    </row>
    <row r="134" spans="2:13" x14ac:dyDescent="0.2">
      <c r="B134" t="s">
        <v>339</v>
      </c>
      <c r="C134">
        <f>VLOOKUP('master table'!B134,Table1[#All], 2,FALSE)</f>
        <v>2.2000000000000002</v>
      </c>
      <c r="D134">
        <f>VLOOKUP('master table'!B134,Table2[#All], 2,FALSE)</f>
        <v>18.7</v>
      </c>
      <c r="E134">
        <f>VLOOKUP('master table'!B134,Table3[#All], 2,FALSE)</f>
        <v>14.2</v>
      </c>
      <c r="F134">
        <f>VLOOKUP('master table'!B134,Table4[#All], 2,FALSE)</f>
        <v>0.95</v>
      </c>
      <c r="G134">
        <f>VLOOKUP('master table'!B134,Table5[#All], 2,FALSE)</f>
        <v>1.04</v>
      </c>
      <c r="H134">
        <f>VLOOKUP('master table'!B134,Table6[#All], 2,FALSE)</f>
        <v>32.799999999999997</v>
      </c>
      <c r="I134">
        <f>VLOOKUP('master table'!B134,Table7[#All], 2,FALSE)</f>
        <v>6.6</v>
      </c>
      <c r="J134">
        <f>VLOOKUP('master table'!B134,Table8[#All], 2,FALSE)</f>
        <v>76.8</v>
      </c>
      <c r="K134">
        <f>VLOOKUP('master table'!B134,Table9[#All], 2,FALSE)</f>
        <v>168.07</v>
      </c>
      <c r="L134">
        <f>VLOOKUP('master table'!B134,Table9[#All], 3,FALSE)</f>
        <v>155.88</v>
      </c>
      <c r="M134">
        <f>VLOOKUP('master table'!B134,Table10[#All], 2,FALSE)</f>
        <v>14509</v>
      </c>
    </row>
    <row r="135" spans="2:13" x14ac:dyDescent="0.2">
      <c r="B135" t="s">
        <v>341</v>
      </c>
      <c r="C135">
        <f>VLOOKUP('master table'!B135,Table1[#All], 2,FALSE)</f>
        <v>4.4000000000000004</v>
      </c>
      <c r="D135">
        <f>VLOOKUP('master table'!B135,Table2[#All], 2,FALSE)</f>
        <v>35.299999999999997</v>
      </c>
      <c r="E135">
        <f>VLOOKUP('master table'!B135,Table3[#All], 2,FALSE)</f>
        <v>9.5</v>
      </c>
      <c r="F135">
        <f>VLOOKUP('master table'!B135,Table4[#All], 2,FALSE)</f>
        <v>1.01</v>
      </c>
      <c r="G135">
        <f>VLOOKUP('master table'!B135,Table5[#All], 2,FALSE)</f>
        <v>2.08</v>
      </c>
      <c r="H135">
        <f>VLOOKUP('master table'!B135,Table6[#All], 2,FALSE)</f>
        <v>19.899999999999999</v>
      </c>
      <c r="I135">
        <f>VLOOKUP('master table'!B135,Table7[#All], 2,FALSE)</f>
        <v>21</v>
      </c>
      <c r="J135">
        <f>VLOOKUP('master table'!B135,Table8[#All], 2,FALSE)</f>
        <v>65.099999999999994</v>
      </c>
      <c r="K135">
        <f>VLOOKUP('master table'!B135,Table9[#All], 2,FALSE)</f>
        <v>172.07</v>
      </c>
      <c r="L135">
        <f>VLOOKUP('master table'!B135,Table9[#All], 3,FALSE)</f>
        <v>160.36000000000001</v>
      </c>
      <c r="M135">
        <f>VLOOKUP('master table'!B135,Table10[#All], 2,FALSE)</f>
        <v>3986</v>
      </c>
    </row>
    <row r="136" spans="2:13" x14ac:dyDescent="0.2">
      <c r="B136" t="s">
        <v>343</v>
      </c>
      <c r="C136">
        <f>VLOOKUP('master table'!B136,Table1[#All], 2,FALSE)</f>
        <v>2.4</v>
      </c>
      <c r="D136">
        <f>VLOOKUP('master table'!B136,Table2[#All], 2,FALSE)</f>
        <v>66.099999999999994</v>
      </c>
      <c r="E136">
        <f>VLOOKUP('master table'!B136,Table3[#All], 2,FALSE)</f>
        <v>23.2</v>
      </c>
      <c r="F136">
        <f>VLOOKUP('master table'!B136,Table4[#All], 2,FALSE)</f>
        <v>1.01</v>
      </c>
      <c r="G136">
        <f>VLOOKUP('master table'!B136,Table5[#All], 2,FALSE)</f>
        <v>0.9</v>
      </c>
      <c r="H136">
        <f>VLOOKUP('master table'!B136,Table6[#All], 2,FALSE)</f>
        <v>29.8</v>
      </c>
      <c r="I136">
        <f>VLOOKUP('master table'!B136,Table7[#All], 2,FALSE)</f>
        <v>40.299999999999997</v>
      </c>
      <c r="J136">
        <f>VLOOKUP('master table'!B136,Table8[#All], 2,FALSE)</f>
        <v>71.599999999999994</v>
      </c>
      <c r="K136">
        <f>VLOOKUP('master table'!B136,Table9[#All], 2,FALSE)</f>
        <v>174.51</v>
      </c>
      <c r="L136">
        <f>VLOOKUP('master table'!B136,Table9[#All], 3,FALSE)</f>
        <v>162.26</v>
      </c>
      <c r="M136">
        <f>VLOOKUP('master table'!B136,Table10[#All], 2,FALSE)</f>
        <v>16044</v>
      </c>
    </row>
    <row r="137" spans="2:13" x14ac:dyDescent="0.2">
      <c r="B137" t="s">
        <v>345</v>
      </c>
      <c r="C137">
        <f>VLOOKUP('master table'!B137,Table1[#All], 2,FALSE)</f>
        <v>1.8</v>
      </c>
      <c r="D137">
        <f>VLOOKUP('master table'!B137,Table2[#All], 2,FALSE)</f>
        <v>88</v>
      </c>
      <c r="E137">
        <f>VLOOKUP('master table'!B137,Table3[#All], 2,FALSE)</f>
        <v>13.8</v>
      </c>
      <c r="F137">
        <f>VLOOKUP('master table'!B137,Table4[#All], 2,FALSE)</f>
        <v>1</v>
      </c>
      <c r="G137">
        <f>VLOOKUP('master table'!B137,Table5[#All], 2,FALSE)</f>
        <v>0.71</v>
      </c>
      <c r="H137">
        <f>VLOOKUP('master table'!B137,Table6[#All], 2,FALSE)</f>
        <v>41.2</v>
      </c>
      <c r="I137">
        <f>VLOOKUP('master table'!B137,Table7[#All], 2,FALSE)</f>
        <v>76.099999999999994</v>
      </c>
      <c r="J137">
        <f>VLOOKUP('master table'!B137,Table8[#All], 2,FALSE)</f>
        <v>82.7</v>
      </c>
      <c r="K137">
        <f>VLOOKUP('master table'!B137,Table9[#All], 2,FALSE)</f>
        <v>180.46</v>
      </c>
      <c r="L137">
        <f>VLOOKUP('master table'!B137,Table9[#All], 3,FALSE)</f>
        <v>166.67</v>
      </c>
      <c r="M137">
        <f>VLOOKUP('master table'!B137,Table10[#All], 2,FALSE)</f>
        <v>55989</v>
      </c>
    </row>
    <row r="138" spans="2:13" x14ac:dyDescent="0.2">
      <c r="B138" t="s">
        <v>351</v>
      </c>
      <c r="C138">
        <f>VLOOKUP('master table'!B138,Table1[#All], 2,FALSE)</f>
        <v>3.6</v>
      </c>
      <c r="D138">
        <f>VLOOKUP('master table'!B138,Table2[#All], 2,FALSE)</f>
        <v>27.5</v>
      </c>
      <c r="E138">
        <f>VLOOKUP('master table'!B138,Table3[#All], 2,FALSE)</f>
        <v>3.3</v>
      </c>
      <c r="F138">
        <f>VLOOKUP('master table'!B138,Table4[#All], 2,FALSE)</f>
        <v>0.99</v>
      </c>
      <c r="G138">
        <f>VLOOKUP('master table'!B138,Table5[#All], 2,FALSE)</f>
        <v>2.4500000000000002</v>
      </c>
      <c r="H138">
        <f>VLOOKUP('master table'!B138,Table6[#All], 2,FALSE)</f>
        <v>24.5</v>
      </c>
      <c r="I138">
        <f>VLOOKUP('master table'!B138,Table7[#All], 2,FALSE)</f>
        <v>8.6999999999999993</v>
      </c>
      <c r="J138">
        <f>VLOOKUP('master table'!B138,Table8[#All], 2,FALSE)</f>
        <v>70.900000000000006</v>
      </c>
      <c r="K138">
        <f>VLOOKUP('master table'!B138,Table9[#All], 2,FALSE)</f>
        <v>168.43</v>
      </c>
      <c r="L138">
        <f>VLOOKUP('master table'!B138,Table9[#All], 3,FALSE)</f>
        <v>158.12</v>
      </c>
      <c r="M138">
        <f>VLOOKUP('master table'!B138,Table10[#All], 2,FALSE)</f>
        <v>3751</v>
      </c>
    </row>
    <row r="139" spans="2:13" x14ac:dyDescent="0.2">
      <c r="B139" t="s">
        <v>353</v>
      </c>
      <c r="C139">
        <f>VLOOKUP('master table'!B139,Table1[#All], 2,FALSE)</f>
        <v>4.9000000000000004</v>
      </c>
      <c r="D139">
        <f>VLOOKUP('master table'!B139,Table2[#All], 2,FALSE)</f>
        <v>35.200000000000003</v>
      </c>
      <c r="E139">
        <f>VLOOKUP('master table'!B139,Table3[#All], 2,FALSE)</f>
        <v>9.6</v>
      </c>
      <c r="F139">
        <f>VLOOKUP('master table'!B139,Table4[#All], 2,FALSE)</f>
        <v>1</v>
      </c>
      <c r="G139">
        <f>VLOOKUP('master table'!B139,Table5[#All], 2,FALSE)</f>
        <v>3.04</v>
      </c>
      <c r="H139">
        <f>VLOOKUP('master table'!B139,Table6[#All], 2,FALSE)</f>
        <v>17.7</v>
      </c>
      <c r="I139">
        <f>VLOOKUP('master table'!B139,Table7[#All], 2,FALSE)</f>
        <v>10</v>
      </c>
      <c r="J139">
        <f>VLOOKUP('master table'!B139,Table8[#All], 2,FALSE)</f>
        <v>65</v>
      </c>
      <c r="K139">
        <f>VLOOKUP('master table'!B139,Table9[#All], 2,FALSE)</f>
        <v>166.98</v>
      </c>
      <c r="L139">
        <f>VLOOKUP('master table'!B139,Table9[#All], 3,FALSE)</f>
        <v>156.88999999999999</v>
      </c>
      <c r="M139">
        <f>VLOOKUP('master table'!B139,Table10[#All], 2,FALSE)</f>
        <v>3652</v>
      </c>
    </row>
    <row r="140" spans="2:13" x14ac:dyDescent="0.2">
      <c r="B140" t="s">
        <v>355</v>
      </c>
      <c r="C140">
        <f>VLOOKUP('master table'!B140,Table1[#All], 2,FALSE)</f>
        <v>1.5</v>
      </c>
      <c r="D140">
        <f>VLOOKUP('master table'!B140,Table2[#All], 2,FALSE)</f>
        <v>51.4</v>
      </c>
      <c r="E140">
        <f>VLOOKUP('master table'!B140,Table3[#All], 2,FALSE)</f>
        <v>12.9</v>
      </c>
      <c r="F140">
        <f>VLOOKUP('master table'!B140,Table4[#All], 2,FALSE)</f>
        <v>0.96</v>
      </c>
      <c r="G140">
        <f>VLOOKUP('master table'!B140,Table5[#All], 2,FALSE)</f>
        <v>0.31</v>
      </c>
      <c r="H140">
        <f>VLOOKUP('master table'!B140,Table6[#All], 2,FALSE)</f>
        <v>37.700000000000003</v>
      </c>
      <c r="I140">
        <f>VLOOKUP('master table'!B140,Table7[#All], 2,FALSE)</f>
        <v>27.9</v>
      </c>
      <c r="J140">
        <f>VLOOKUP('master table'!B140,Table8[#All], 2,FALSE)</f>
        <v>76.900000000000006</v>
      </c>
      <c r="K140">
        <f>VLOOKUP('master table'!B140,Table9[#All], 2,FALSE)</f>
        <v>171.61</v>
      </c>
      <c r="L140">
        <f>VLOOKUP('master table'!B140,Table9[#All], 3,FALSE)</f>
        <v>159.41999999999999</v>
      </c>
      <c r="M140">
        <f>VLOOKUP('master table'!B140,Table10[#All], 2,FALSE)</f>
        <v>21361</v>
      </c>
    </row>
    <row r="141" spans="2:13" x14ac:dyDescent="0.2">
      <c r="B141" t="s">
        <v>361</v>
      </c>
      <c r="C141">
        <f>VLOOKUP('master table'!B141,Table1[#All], 2,FALSE)</f>
        <v>4.3</v>
      </c>
      <c r="D141">
        <f>VLOOKUP('master table'!B141,Table2[#All], 2,FALSE)</f>
        <v>42.8</v>
      </c>
      <c r="E141">
        <f>VLOOKUP('master table'!B141,Table3[#All], 2,FALSE)</f>
        <v>16.600000000000001</v>
      </c>
      <c r="F141">
        <f>VLOOKUP('master table'!B141,Table4[#All], 2,FALSE)</f>
        <v>0.98</v>
      </c>
      <c r="G141">
        <f>VLOOKUP('master table'!B141,Table5[#All], 2,FALSE)</f>
        <v>2.6</v>
      </c>
      <c r="H141">
        <f>VLOOKUP('master table'!B141,Table6[#All], 2,FALSE)</f>
        <v>19.8</v>
      </c>
      <c r="I141">
        <f>VLOOKUP('master table'!B141,Table7[#All], 2,FALSE)</f>
        <v>8.5</v>
      </c>
      <c r="J141">
        <f>VLOOKUP('master table'!B141,Table8[#All], 2,FALSE)</f>
        <v>60.8</v>
      </c>
      <c r="K141">
        <f>VLOOKUP('master table'!B141,Table9[#All], 2,FALSE)</f>
        <v>170.14</v>
      </c>
      <c r="L141">
        <f>VLOOKUP('master table'!B141,Table9[#All], 3,FALSE)</f>
        <v>159.13</v>
      </c>
      <c r="M141">
        <f>VLOOKUP('master table'!B141,Table10[#All], 2,FALSE)</f>
        <v>1913</v>
      </c>
    </row>
    <row r="142" spans="2:13" x14ac:dyDescent="0.2">
      <c r="B142" t="s">
        <v>365</v>
      </c>
      <c r="C142">
        <f>VLOOKUP('master table'!B142,Table1[#All], 2,FALSE)</f>
        <v>1.7</v>
      </c>
      <c r="D142">
        <f>VLOOKUP('master table'!B142,Table2[#All], 2,FALSE)</f>
        <v>53.2</v>
      </c>
      <c r="E142">
        <f>VLOOKUP('master table'!B142,Table3[#All], 2,FALSE)</f>
        <v>12.9</v>
      </c>
      <c r="F142">
        <f>VLOOKUP('master table'!B142,Table4[#All], 2,FALSE)</f>
        <v>1.03</v>
      </c>
      <c r="G142">
        <f>VLOOKUP('master table'!B142,Table5[#All], 2,FALSE)</f>
        <v>0.33</v>
      </c>
      <c r="H142">
        <f>VLOOKUP('master table'!B142,Table6[#All], 2,FALSE)</f>
        <v>36</v>
      </c>
      <c r="I142">
        <f>VLOOKUP('master table'!B142,Table7[#All], 2,FALSE)</f>
        <v>57.8</v>
      </c>
      <c r="J142">
        <f>VLOOKUP('master table'!B142,Table8[#All], 2,FALSE)</f>
        <v>73.400000000000006</v>
      </c>
      <c r="K142">
        <f>VLOOKUP('master table'!B142,Table9[#All], 2,FALSE)</f>
        <v>176.03</v>
      </c>
      <c r="L142">
        <f>VLOOKUP('master table'!B142,Table9[#All], 3,FALSE)</f>
        <v>163.38</v>
      </c>
      <c r="M142">
        <f>VLOOKUP('master table'!B142,Table10[#All], 2,FALSE)</f>
        <v>33713</v>
      </c>
    </row>
    <row r="143" spans="2:13" x14ac:dyDescent="0.2">
      <c r="B143" t="s">
        <v>367</v>
      </c>
      <c r="C143">
        <f>VLOOKUP('master table'!B143,Table1[#All], 2,FALSE)</f>
        <v>2.2000000000000002</v>
      </c>
      <c r="D143">
        <f>VLOOKUP('master table'!B143,Table2[#All], 2,FALSE)</f>
        <v>69.599999999999994</v>
      </c>
      <c r="E143">
        <f>VLOOKUP('master table'!B143,Table3[#All], 2,FALSE)</f>
        <v>3.2</v>
      </c>
      <c r="F143">
        <f>VLOOKUP('master table'!B143,Table4[#All], 2,FALSE)</f>
        <v>0.99</v>
      </c>
      <c r="G143">
        <f>VLOOKUP('master table'!B143,Table5[#All], 2,FALSE)</f>
        <v>0.97</v>
      </c>
      <c r="H143">
        <f>VLOOKUP('master table'!B143,Table6[#All], 2,FALSE)</f>
        <v>31.6</v>
      </c>
      <c r="I143">
        <f>VLOOKUP('master table'!B143,Table7[#All], 2,FALSE)</f>
        <v>25.5</v>
      </c>
      <c r="J143">
        <f>VLOOKUP('master table'!B143,Table8[#All], 2,FALSE)</f>
        <v>76.5</v>
      </c>
      <c r="K143">
        <f>VLOOKUP('master table'!B143,Table9[#All], 2,FALSE)</f>
        <v>176.85</v>
      </c>
      <c r="L143">
        <f>VLOOKUP('master table'!B143,Table9[#All], 3,FALSE)</f>
        <v>161.69</v>
      </c>
      <c r="M143">
        <f>VLOOKUP('master table'!B143,Table10[#All], 2,FALSE)</f>
        <v>13093</v>
      </c>
    </row>
    <row r="144" spans="2:13" x14ac:dyDescent="0.2">
      <c r="B144" t="s">
        <v>369</v>
      </c>
      <c r="C144">
        <f>VLOOKUP('master table'!B144,Table1[#All], 2,FALSE)</f>
        <v>2.1</v>
      </c>
      <c r="D144">
        <f>VLOOKUP('master table'!B144,Table2[#All], 2,FALSE)</f>
        <v>76.099999999999994</v>
      </c>
      <c r="E144">
        <f>VLOOKUP('master table'!B144,Table3[#All], 2,FALSE)</f>
        <v>7.2</v>
      </c>
      <c r="F144">
        <f>VLOOKUP('master table'!B144,Table4[#All], 2,FALSE)</f>
        <v>1.01</v>
      </c>
      <c r="G144">
        <f>VLOOKUP('master table'!B144,Table5[#All], 2,FALSE)</f>
        <v>1.28</v>
      </c>
      <c r="H144">
        <f>VLOOKUP('master table'!B144,Table6[#All], 2,FALSE)</f>
        <v>30.9</v>
      </c>
      <c r="I144">
        <f>VLOOKUP('master table'!B144,Table7[#All], 2,FALSE)</f>
        <v>19.3</v>
      </c>
      <c r="J144">
        <f>VLOOKUP('master table'!B144,Table8[#All], 2,FALSE)</f>
        <v>78.3</v>
      </c>
      <c r="K144">
        <f>VLOOKUP('master table'!B144,Table9[#All], 2,FALSE)</f>
        <v>176.36</v>
      </c>
      <c r="L144">
        <f>VLOOKUP('master table'!B144,Table9[#All], 3,FALSE)</f>
        <v>161.80000000000001</v>
      </c>
      <c r="M144">
        <f>VLOOKUP('master table'!B144,Table10[#All], 2,FALSE)</f>
        <v>29327</v>
      </c>
    </row>
    <row r="145" spans="2:13" x14ac:dyDescent="0.2">
      <c r="B145" t="s">
        <v>371</v>
      </c>
      <c r="C145">
        <f>VLOOKUP('master table'!B145,Table1[#All], 2,FALSE)</f>
        <v>2.8</v>
      </c>
      <c r="D145">
        <f>VLOOKUP('master table'!B145,Table2[#All], 2,FALSE)</f>
        <v>52.5</v>
      </c>
      <c r="E145">
        <f>VLOOKUP('master table'!B145,Table3[#All], 2,FALSE)</f>
        <v>7.2</v>
      </c>
      <c r="F145">
        <f>VLOOKUP('master table'!B145,Table4[#All], 2,FALSE)</f>
        <v>0.98</v>
      </c>
      <c r="G145">
        <f>VLOOKUP('master table'!B145,Table5[#All], 2,FALSE)</f>
        <v>1.29</v>
      </c>
      <c r="H145">
        <f>VLOOKUP('master table'!B145,Table6[#All], 2,FALSE)</f>
        <v>27.9</v>
      </c>
      <c r="I145">
        <f>VLOOKUP('master table'!B145,Table7[#All], 2,FALSE)</f>
        <v>41.7</v>
      </c>
      <c r="J145">
        <f>VLOOKUP('master table'!B145,Table8[#All], 2,FALSE)</f>
        <v>68.099999999999994</v>
      </c>
      <c r="K145">
        <f>VLOOKUP('master table'!B145,Table9[#All], 2,FALSE)</f>
        <v>174.37</v>
      </c>
      <c r="L145">
        <f>VLOOKUP('master table'!B145,Table9[#All], 3,FALSE)</f>
        <v>162.83000000000001</v>
      </c>
      <c r="M145">
        <f>VLOOKUP('master table'!B145,Table10[#All], 2,FALSE)</f>
        <v>21855</v>
      </c>
    </row>
    <row r="146" spans="2:13" x14ac:dyDescent="0.2">
      <c r="B146" t="s">
        <v>373</v>
      </c>
      <c r="C146">
        <f>VLOOKUP('master table'!B146,Table1[#All], 2,FALSE)</f>
        <v>5</v>
      </c>
      <c r="D146">
        <f>VLOOKUP('master table'!B146,Table2[#All], 2,FALSE)</f>
        <v>25</v>
      </c>
      <c r="E146">
        <f>VLOOKUP('master table'!B146,Table3[#All], 2,FALSE)</f>
        <v>20</v>
      </c>
      <c r="F146">
        <f>VLOOKUP('master table'!B146,Table4[#All], 2,FALSE)</f>
        <v>0.94</v>
      </c>
      <c r="G146">
        <f>VLOOKUP('master table'!B146,Table5[#All], 2,FALSE)</f>
        <v>3.35</v>
      </c>
      <c r="H146">
        <f>VLOOKUP('master table'!B146,Table6[#All], 2,FALSE)</f>
        <v>15.8</v>
      </c>
      <c r="I146">
        <f>VLOOKUP('master table'!B146,Table7[#All], 2,FALSE)</f>
        <v>11.7</v>
      </c>
      <c r="J146">
        <f>VLOOKUP('master table'!B146,Table8[#All], 2,FALSE)</f>
        <v>63</v>
      </c>
      <c r="K146">
        <f>VLOOKUP('master table'!B146,Table9[#All], 2,FALSE)</f>
        <v>168.74</v>
      </c>
      <c r="L146">
        <f>VLOOKUP('master table'!B146,Table9[#All], 3,FALSE)</f>
        <v>158.53</v>
      </c>
      <c r="M146">
        <f>VLOOKUP('master table'!B146,Table10[#All], 2,FALSE)</f>
        <v>2753</v>
      </c>
    </row>
    <row r="147" spans="2:13" x14ac:dyDescent="0.2">
      <c r="B147" t="s">
        <v>375</v>
      </c>
      <c r="C147">
        <f>VLOOKUP('master table'!B147,Table1[#All], 2,FALSE)</f>
        <v>1.3</v>
      </c>
      <c r="D147">
        <f>VLOOKUP('master table'!B147,Table2[#All], 2,FALSE)</f>
        <v>69.599999999999994</v>
      </c>
      <c r="E147">
        <f>VLOOKUP('master table'!B147,Table3[#All], 2,FALSE)</f>
        <v>18.5</v>
      </c>
      <c r="F147">
        <f>VLOOKUP('master table'!B147,Table4[#All], 2,FALSE)</f>
        <v>0.86</v>
      </c>
      <c r="G147">
        <f>VLOOKUP('master table'!B147,Table5[#All], 2,FALSE)</f>
        <v>-0.25</v>
      </c>
      <c r="H147">
        <f>VLOOKUP('master table'!B147,Table6[#All], 2,FALSE)</f>
        <v>40.6</v>
      </c>
      <c r="I147">
        <f>VLOOKUP('master table'!B147,Table7[#All], 2,FALSE)</f>
        <v>32.299999999999997</v>
      </c>
      <c r="J147">
        <f>VLOOKUP('master table'!B147,Table8[#All], 2,FALSE)</f>
        <v>72</v>
      </c>
      <c r="K147">
        <f>VLOOKUP('master table'!B147,Table9[#All], 2,FALSE)</f>
        <v>180.98</v>
      </c>
      <c r="L147">
        <f>VLOOKUP('master table'!B147,Table9[#All], 3,FALSE)</f>
        <v>166.62</v>
      </c>
      <c r="M147">
        <f>VLOOKUP('master table'!B147,Table10[#All], 2,FALSE)</f>
        <v>10130</v>
      </c>
    </row>
    <row r="148" spans="2:13" x14ac:dyDescent="0.2">
      <c r="B148" t="s">
        <v>377</v>
      </c>
      <c r="C148">
        <f>VLOOKUP('master table'!B148,Table1[#All], 2,FALSE)</f>
        <v>1.4</v>
      </c>
      <c r="D148">
        <f>VLOOKUP('master table'!B148,Table2[#All], 2,FALSE)</f>
        <v>87</v>
      </c>
      <c r="E148">
        <f>VLOOKUP('master table'!B148,Table3[#All], 2,FALSE)</f>
        <v>2.7</v>
      </c>
      <c r="F148">
        <f>VLOOKUP('master table'!B148,Table4[#All], 2,FALSE)</f>
        <v>2.56</v>
      </c>
      <c r="G148">
        <f>VLOOKUP('master table'!B148,Table5[#All], 2,FALSE)</f>
        <v>3.1</v>
      </c>
      <c r="H148">
        <f>VLOOKUP('master table'!B148,Table6[#All], 2,FALSE)</f>
        <v>30.3</v>
      </c>
      <c r="I148">
        <f>VLOOKUP('master table'!B148,Table7[#All], 2,FALSE)</f>
        <v>74.400000000000006</v>
      </c>
      <c r="J148">
        <f>VLOOKUP('master table'!B148,Table8[#All], 2,FALSE)</f>
        <v>77.8</v>
      </c>
      <c r="K148">
        <f>VLOOKUP('master table'!B148,Table9[#All], 2,FALSE)</f>
        <v>174.08</v>
      </c>
      <c r="L148">
        <f>VLOOKUP('master table'!B148,Table9[#All], 3,FALSE)</f>
        <v>160.53</v>
      </c>
      <c r="M148">
        <f>VLOOKUP('master table'!B148,Table10[#All], 2,FALSE)</f>
        <v>70441</v>
      </c>
    </row>
    <row r="149" spans="2:13" x14ac:dyDescent="0.2">
      <c r="B149" t="s">
        <v>379</v>
      </c>
      <c r="C149">
        <f>VLOOKUP('master table'!B149,Table1[#All], 2,FALSE)</f>
        <v>1.7</v>
      </c>
      <c r="D149">
        <f>VLOOKUP('master table'!B149,Table2[#All], 2,FALSE)</f>
        <v>83.9</v>
      </c>
      <c r="E149">
        <f>VLOOKUP('master table'!B149,Table3[#All], 2,FALSE)</f>
        <v>7.6</v>
      </c>
      <c r="F149">
        <f>VLOOKUP('master table'!B149,Table4[#All], 2,FALSE)</f>
        <v>0.99</v>
      </c>
      <c r="G149">
        <f>VLOOKUP('master table'!B149,Table5[#All], 2,FALSE)</f>
        <v>0.75</v>
      </c>
      <c r="H149">
        <f>VLOOKUP('master table'!B149,Table6[#All], 2,FALSE)</f>
        <v>40.5</v>
      </c>
      <c r="I149">
        <f>VLOOKUP('master table'!B149,Table7[#All], 2,FALSE)</f>
        <v>79.599999999999994</v>
      </c>
      <c r="J149">
        <f>VLOOKUP('master table'!B149,Table8[#All], 2,FALSE)</f>
        <v>81.2</v>
      </c>
      <c r="K149">
        <f>VLOOKUP('master table'!B149,Table9[#All], 2,FALSE)</f>
        <v>178.21</v>
      </c>
      <c r="L149">
        <f>VLOOKUP('master table'!B149,Table9[#All], 3,FALSE)</f>
        <v>163.94</v>
      </c>
      <c r="M149">
        <f>VLOOKUP('master table'!B149,Table10[#All], 2,FALSE)</f>
        <v>48169</v>
      </c>
    </row>
    <row r="150" spans="2:13" x14ac:dyDescent="0.2">
      <c r="B150" t="s">
        <v>381</v>
      </c>
      <c r="C150">
        <f>VLOOKUP('master table'!B150,Table1[#All], 2,FALSE)</f>
        <v>1.7</v>
      </c>
      <c r="D150">
        <f>VLOOKUP('master table'!B150,Table2[#All], 2,FALSE)</f>
        <v>82.7</v>
      </c>
      <c r="E150">
        <f>VLOOKUP('master table'!B150,Table3[#All], 2,FALSE)</f>
        <v>13.7</v>
      </c>
      <c r="F150">
        <f>VLOOKUP('master table'!B150,Table4[#All], 2,FALSE)</f>
        <v>0.97</v>
      </c>
      <c r="G150">
        <f>VLOOKUP('master table'!B150,Table5[#All], 2,FALSE)</f>
        <v>0.74</v>
      </c>
      <c r="H150">
        <f>VLOOKUP('master table'!B150,Table6[#All], 2,FALSE)</f>
        <v>38.1</v>
      </c>
      <c r="I150">
        <f>VLOOKUP('master table'!B150,Table7[#All], 2,FALSE)</f>
        <v>124.8</v>
      </c>
      <c r="J150">
        <f>VLOOKUP('master table'!B150,Table8[#All], 2,FALSE)</f>
        <v>78.900000000000006</v>
      </c>
      <c r="K150">
        <f>VLOOKUP('master table'!B150,Table9[#All], 2,FALSE)</f>
        <v>176.94</v>
      </c>
      <c r="L150">
        <f>VLOOKUP('master table'!B150,Table9[#All], 3,FALSE)</f>
        <v>163.31</v>
      </c>
      <c r="M150">
        <f>VLOOKUP('master table'!B150,Table10[#All], 2,FALSE)</f>
        <v>67426</v>
      </c>
    </row>
    <row r="151" spans="2:13" x14ac:dyDescent="0.2">
      <c r="B151" t="s">
        <v>383</v>
      </c>
      <c r="C151">
        <f>VLOOKUP('master table'!B151,Table1[#All], 2,FALSE)</f>
        <v>2</v>
      </c>
      <c r="D151">
        <f>VLOOKUP('master table'!B151,Table2[#All], 2,FALSE)</f>
        <v>95.5</v>
      </c>
      <c r="E151">
        <f>VLOOKUP('master table'!B151,Table3[#All], 2,FALSE)</f>
        <v>16.5</v>
      </c>
      <c r="F151">
        <f>VLOOKUP('master table'!B151,Table4[#All], 2,FALSE)</f>
        <v>0.94</v>
      </c>
      <c r="G151">
        <f>VLOOKUP('master table'!B151,Table5[#All], 2,FALSE)</f>
        <v>0.35</v>
      </c>
      <c r="H151">
        <f>VLOOKUP('master table'!B151,Table6[#All], 2,FALSE)</f>
        <v>35</v>
      </c>
      <c r="I151">
        <f>VLOOKUP('master table'!B151,Table7[#All], 2,FALSE)</f>
        <v>98.6</v>
      </c>
      <c r="J151">
        <f>VLOOKUP('master table'!B151,Table8[#All], 2,FALSE)</f>
        <v>77.8</v>
      </c>
      <c r="K151">
        <f>VLOOKUP('master table'!B151,Table9[#All], 2,FALSE)</f>
        <v>174.32</v>
      </c>
      <c r="L151">
        <f>VLOOKUP('master table'!B151,Table9[#All], 3,FALSE)</f>
        <v>161.56</v>
      </c>
      <c r="M151">
        <f>VLOOKUP('master table'!B151,Table10[#All], 2,FALSE)</f>
        <v>24516</v>
      </c>
    </row>
    <row r="152" spans="2:13" x14ac:dyDescent="0.2">
      <c r="B152" t="s">
        <v>385</v>
      </c>
      <c r="C152">
        <f>VLOOKUP('master table'!B152,Table1[#All], 2,FALSE)</f>
        <v>2.4</v>
      </c>
      <c r="D152">
        <f>VLOOKUP('master table'!B152,Table2[#All], 2,FALSE)</f>
        <v>50.4</v>
      </c>
      <c r="E152">
        <f>VLOOKUP('master table'!B152,Table3[#All], 2,FALSE)</f>
        <v>7.4</v>
      </c>
      <c r="F152">
        <f>VLOOKUP('master table'!B152,Table4[#All], 2,FALSE)</f>
        <v>0.99</v>
      </c>
      <c r="G152">
        <f>VLOOKUP('master table'!B152,Table5[#All], 2,FALSE)</f>
        <v>1.47</v>
      </c>
      <c r="H152">
        <f>VLOOKUP('master table'!B152,Table6[#All], 2,FALSE)</f>
        <v>28.6</v>
      </c>
      <c r="I152">
        <f>VLOOKUP('master table'!B152,Table7[#All], 2,FALSE)</f>
        <v>20.7</v>
      </c>
      <c r="J152">
        <f>VLOOKUP('master table'!B152,Table8[#All], 2,FALSE)</f>
        <v>71.5</v>
      </c>
      <c r="K152">
        <f>VLOOKUP('master table'!B152,Table9[#All], 2,FALSE)</f>
        <v>170.94</v>
      </c>
      <c r="L152">
        <f>VLOOKUP('master table'!B152,Table9[#All], 3,FALSE)</f>
        <v>160.29</v>
      </c>
      <c r="M152">
        <f>VLOOKUP('master table'!B152,Table10[#All], 2,FALSE)</f>
        <v>9595</v>
      </c>
    </row>
    <row r="153" spans="2:13" x14ac:dyDescent="0.2">
      <c r="B153" t="s">
        <v>387</v>
      </c>
      <c r="C153">
        <f>VLOOKUP('master table'!B153,Table1[#All], 2,FALSE)</f>
        <v>3.8</v>
      </c>
      <c r="D153">
        <f>VLOOKUP('master table'!B153,Table2[#All], 2,FALSE)</f>
        <v>25.5</v>
      </c>
      <c r="E153">
        <f>VLOOKUP('master table'!B153,Table3[#All], 2,FALSE)</f>
        <v>5.4</v>
      </c>
      <c r="F153">
        <f>VLOOKUP('master table'!B153,Table4[#All], 2,FALSE)</f>
        <v>0.99</v>
      </c>
      <c r="G153">
        <f>VLOOKUP('master table'!B153,Table5[#All], 2,FALSE)</f>
        <v>2.2400000000000002</v>
      </c>
      <c r="H153">
        <f>VLOOKUP('master table'!B153,Table6[#All], 2,FALSE)</f>
        <v>22</v>
      </c>
      <c r="I153">
        <f>VLOOKUP('master table'!B153,Table7[#All], 2,FALSE)</f>
        <v>32.6</v>
      </c>
      <c r="J153">
        <f>VLOOKUP('master table'!B153,Table8[#All], 2,FALSE)</f>
        <v>70.3</v>
      </c>
      <c r="K153">
        <f>VLOOKUP('master table'!B153,Table9[#All], 2,FALSE)</f>
        <v>168.29</v>
      </c>
      <c r="L153">
        <f>VLOOKUP('master table'!B153,Table9[#All], 3,FALSE)</f>
        <v>160.47999999999999</v>
      </c>
      <c r="M153">
        <f>VLOOKUP('master table'!B153,Table10[#All], 2,FALSE)</f>
        <v>3039</v>
      </c>
    </row>
    <row r="154" spans="2:13" x14ac:dyDescent="0.2">
      <c r="B154" t="s">
        <v>389</v>
      </c>
      <c r="C154">
        <f>VLOOKUP('master table'!B154,Table1[#All], 2,FALSE)</f>
        <v>2.2999999999999998</v>
      </c>
      <c r="D154">
        <f>VLOOKUP('master table'!B154,Table2[#All], 2,FALSE)</f>
        <v>88.3</v>
      </c>
      <c r="E154">
        <f>VLOOKUP('master table'!B154,Table3[#All], 2,FALSE)</f>
        <v>3.8</v>
      </c>
      <c r="F154">
        <f>VLOOKUP('master table'!B154,Table4[#All], 2,FALSE)</f>
        <v>0.99</v>
      </c>
      <c r="G154">
        <f>VLOOKUP('master table'!B154,Table5[#All], 2,FALSE)</f>
        <v>1.53</v>
      </c>
      <c r="H154">
        <f>VLOOKUP('master table'!B154,Table6[#All], 2,FALSE)</f>
        <v>28.3</v>
      </c>
      <c r="I154">
        <f>VLOOKUP('master table'!B154,Table7[#All], 2,FALSE)</f>
        <v>56.6</v>
      </c>
      <c r="J154">
        <f>VLOOKUP('master table'!B154,Table8[#All], 2,FALSE)</f>
        <v>72.099999999999994</v>
      </c>
      <c r="K154">
        <f>VLOOKUP('master table'!B154,Table9[#All], 2,FALSE)</f>
        <v>173.53</v>
      </c>
      <c r="L154">
        <f>VLOOKUP('master table'!B154,Table9[#All], 3,FALSE)</f>
        <v>160.04</v>
      </c>
      <c r="M154">
        <f>VLOOKUP('master table'!B154,Table10[#All], 2,FALSE)</f>
        <v>16055</v>
      </c>
    </row>
    <row r="155" spans="2:13" x14ac:dyDescent="0.2">
      <c r="B155" t="s">
        <v>391</v>
      </c>
      <c r="C155">
        <f>VLOOKUP('master table'!B155,Table1[#All], 2,FALSE)</f>
        <v>2</v>
      </c>
      <c r="D155">
        <f>VLOOKUP('master table'!B155,Table2[#All], 2,FALSE)</f>
        <v>37.299999999999997</v>
      </c>
      <c r="E155">
        <f>VLOOKUP('master table'!B155,Table3[#All], 2,FALSE)</f>
        <v>7</v>
      </c>
      <c r="F155">
        <f>VLOOKUP('master table'!B155,Table4[#All], 2,FALSE)</f>
        <v>1.01</v>
      </c>
      <c r="G155">
        <f>VLOOKUP('master table'!B155,Table5[#All], 2,FALSE)</f>
        <v>1.06</v>
      </c>
      <c r="H155">
        <f>VLOOKUP('master table'!B155,Table6[#All], 2,FALSE)</f>
        <v>30.5</v>
      </c>
      <c r="I155">
        <f>VLOOKUP('master table'!B155,Table7[#All], 2,FALSE)</f>
        <v>28.6</v>
      </c>
      <c r="J155">
        <f>VLOOKUP('master table'!B155,Table8[#All], 2,FALSE)</f>
        <v>75.3</v>
      </c>
      <c r="K155">
        <f>VLOOKUP('master table'!B155,Table9[#All], 2,FALSE)</f>
        <v>168.89</v>
      </c>
      <c r="L155">
        <f>VLOOKUP('master table'!B155,Table9[#All], 3,FALSE)</f>
        <v>158.43</v>
      </c>
      <c r="M155">
        <f>VLOOKUP('master table'!B155,Table10[#All], 2,FALSE)</f>
        <v>8677</v>
      </c>
    </row>
    <row r="156" spans="2:13" x14ac:dyDescent="0.2">
      <c r="B156" t="s">
        <v>395</v>
      </c>
      <c r="C156">
        <f>VLOOKUP('master table'!B156,Table1[#All], 2,FALSE)</f>
        <v>3.8</v>
      </c>
      <c r="D156">
        <f>VLOOKUP('master table'!B156,Table2[#All], 2,FALSE)</f>
        <v>36.6</v>
      </c>
      <c r="E156">
        <f>VLOOKUP('master table'!B156,Table3[#All], 2,FALSE)</f>
        <v>9.8000000000000007</v>
      </c>
      <c r="F156">
        <f>VLOOKUP('master table'!B156,Table4[#All], 2,FALSE)</f>
        <v>1.02</v>
      </c>
      <c r="G156">
        <f>VLOOKUP('master table'!B156,Table5[#All], 2,FALSE)</f>
        <v>2.33</v>
      </c>
      <c r="H156">
        <f>VLOOKUP('master table'!B156,Table6[#All], 2,FALSE)</f>
        <v>19.5</v>
      </c>
      <c r="I156">
        <f>VLOOKUP('master table'!B156,Table7[#All], 2,FALSE)</f>
        <v>14.7</v>
      </c>
      <c r="J156">
        <f>VLOOKUP('master table'!B156,Table8[#All], 2,FALSE)</f>
        <v>66.099999999999994</v>
      </c>
      <c r="K156">
        <f>VLOOKUP('master table'!B156,Table9[#All], 2,FALSE)</f>
        <v>164.42</v>
      </c>
      <c r="L156">
        <f>VLOOKUP('master table'!B156,Table9[#All], 3,FALSE)</f>
        <v>154.76</v>
      </c>
      <c r="M156">
        <f>VLOOKUP('master table'!B156,Table10[#All], 2,FALSE)</f>
        <v>2312</v>
      </c>
    </row>
    <row r="157" spans="2:13" x14ac:dyDescent="0.2">
      <c r="B157" t="s">
        <v>397</v>
      </c>
      <c r="C157">
        <f>VLOOKUP('master table'!B157,Table1[#All], 2,FALSE)</f>
        <v>4.5999999999999996</v>
      </c>
      <c r="D157">
        <f>VLOOKUP('master table'!B157,Table2[#All], 2,FALSE)</f>
        <v>44.6</v>
      </c>
      <c r="E157">
        <f>VLOOKUP('master table'!B157,Table3[#All], 2,FALSE)</f>
        <v>11.3</v>
      </c>
      <c r="F157">
        <f>VLOOKUP('master table'!B157,Table4[#All], 2,FALSE)</f>
        <v>1</v>
      </c>
      <c r="G157">
        <f>VLOOKUP('master table'!B157,Table5[#All], 2,FALSE)</f>
        <v>3.19</v>
      </c>
      <c r="H157">
        <f>VLOOKUP('master table'!B157,Table6[#All], 2,FALSE)</f>
        <v>16.8</v>
      </c>
      <c r="I157">
        <f>VLOOKUP('master table'!B157,Table7[#All], 2,FALSE)</f>
        <v>11.9</v>
      </c>
      <c r="J157">
        <f>VLOOKUP('master table'!B157,Table8[#All], 2,FALSE)</f>
        <v>63.5</v>
      </c>
      <c r="K157">
        <f>VLOOKUP('master table'!B157,Table9[#All], 2,FALSE)</f>
        <v>167.62</v>
      </c>
      <c r="L157">
        <f>VLOOKUP('master table'!B157,Table9[#All], 3,FALSE)</f>
        <v>157.32</v>
      </c>
      <c r="M157">
        <f>VLOOKUP('master table'!B157,Table10[#All], 2,FALSE)</f>
        <v>4174</v>
      </c>
    </row>
    <row r="158" spans="2:13" x14ac:dyDescent="0.2">
      <c r="B158" t="s">
        <v>399</v>
      </c>
      <c r="C158">
        <f>VLOOKUP('master table'!B158,Table1[#All], 2,FALSE)</f>
        <v>3.6</v>
      </c>
      <c r="D158">
        <f>VLOOKUP('master table'!B158,Table2[#All], 2,FALSE)</f>
        <v>32.200000000000003</v>
      </c>
      <c r="E158">
        <f>VLOOKUP('master table'!B158,Table3[#All], 2,FALSE)</f>
        <v>19.100000000000001</v>
      </c>
      <c r="F158">
        <f>VLOOKUP('master table'!B158,Table4[#All], 2,FALSE)</f>
        <v>0.96</v>
      </c>
      <c r="G158">
        <f>VLOOKUP('master table'!B158,Table5[#All], 2,FALSE)</f>
        <v>2.7</v>
      </c>
      <c r="H158">
        <f>VLOOKUP('master table'!B158,Table6[#All], 2,FALSE)</f>
        <v>20</v>
      </c>
      <c r="I158">
        <f>VLOOKUP('master table'!B158,Table7[#All], 2,FALSE)</f>
        <v>15.2</v>
      </c>
      <c r="J158">
        <f>VLOOKUP('master table'!B158,Table8[#All], 2,FALSE)</f>
        <v>61.2</v>
      </c>
      <c r="K158">
        <f>VLOOKUP('master table'!B158,Table9[#All], 2,FALSE)</f>
        <v>170.69</v>
      </c>
      <c r="L158">
        <f>VLOOKUP('master table'!B158,Table9[#All], 3,FALSE)</f>
        <v>159.85</v>
      </c>
      <c r="M158">
        <f>VLOOKUP('master table'!B158,Table10[#All], 2,FALSE)</f>
        <v>2778</v>
      </c>
    </row>
    <row r="159" spans="2:13" x14ac:dyDescent="0.2">
      <c r="B159">
        <f>SUBTOTAL(103,Table11[Country])</f>
        <v>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tables</vt:lpstr>
      <vt:lpstr>master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2022-03-25T09:35:22Z</dcterms:created>
  <dcterms:modified xsi:type="dcterms:W3CDTF">2022-03-25T10:31:39Z</dcterms:modified>
</cp:coreProperties>
</file>